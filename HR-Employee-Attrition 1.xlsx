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Ex3.xml" ContentType="application/vnd.ms-office.chartex+xml"/>
  <Override PartName="/xl/charts/style13.xml" ContentType="application/vnd.ms-office.chartstyle+xml"/>
  <Override PartName="/xl/charts/colors13.xml" ContentType="application/vnd.ms-office.chartcolorstyle+xml"/>
  <Override PartName="/xl/charts/chartEx4.xml" ContentType="application/vnd.ms-office.chartex+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BHANU SURYAVANSHI\Desktop\Excel HR Analytics Project\"/>
    </mc:Choice>
  </mc:AlternateContent>
  <xr:revisionPtr revIDLastSave="0" documentId="13_ncr:1_{EE7A4D6F-05C2-43AD-B0FF-A713A5B32C33}" xr6:coauthVersionLast="47" xr6:coauthVersionMax="47" xr10:uidLastSave="{00000000-0000-0000-0000-000000000000}"/>
  <bookViews>
    <workbookView xWindow="-108" yWindow="-108" windowWidth="23256" windowHeight="13896" activeTab="4" xr2:uid="{70D43272-D57D-446C-A287-87E8F03F1998}"/>
  </bookViews>
  <sheets>
    <sheet name="HR-Employee-Attrition" sheetId="1" r:id="rId1"/>
    <sheet name="KPI's" sheetId="2" r:id="rId2"/>
    <sheet name="Charts" sheetId="3" r:id="rId3"/>
    <sheet name="rating" sheetId="4" r:id="rId4"/>
    <sheet name="DashBoard" sheetId="5" r:id="rId5"/>
  </sheets>
  <externalReferences>
    <externalReference r:id="rId6"/>
  </externalReferences>
  <definedNames>
    <definedName name="_xlchart.v1.10" hidden="1">Charts!$E$98</definedName>
    <definedName name="_xlchart.v1.11" hidden="1">Charts!$E$99:$E$107</definedName>
    <definedName name="_xlchart.v1.3" hidden="1">Charts!$D$99:$D$107</definedName>
    <definedName name="_xlchart.v1.4" hidden="1">Charts!$E$98</definedName>
    <definedName name="_xlchart.v1.5" hidden="1">Charts!$E$99:$E$107</definedName>
    <definedName name="_xlchart.v1.9" hidden="1">Charts!$D$99:$D$107</definedName>
    <definedName name="_xlchart.v2.0" hidden="1">Charts!$D$75:$D$77</definedName>
    <definedName name="_xlchart.v2.1" hidden="1">Charts!$E$74</definedName>
    <definedName name="_xlchart.v2.2" hidden="1">Charts!$E$75:$E$77</definedName>
    <definedName name="_xlchart.v2.6" hidden="1">Charts!$D$75:$D$77</definedName>
    <definedName name="_xlchart.v2.7" hidden="1">Charts!$E$74</definedName>
    <definedName name="_xlchart.v2.8" hidden="1">Charts!$E$75:$E$77</definedName>
    <definedName name="Slicer_Department">#N/A</definedName>
    <definedName name="Slicer_EducationField">#N/A</definedName>
    <definedName name="Slicer_Gender">#N/A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2" i="1" l="1" a="1"/>
  <c r="AK2" i="1" s="1"/>
  <c r="G71" i="3"/>
  <c r="AK3" i="1" a="1"/>
  <c r="AK3" i="1" s="1"/>
  <c r="AK4" i="1" a="1"/>
  <c r="AK4" i="1"/>
  <c r="AK5" i="1" a="1"/>
  <c r="AK5" i="1" s="1"/>
  <c r="AK6" i="1" a="1"/>
  <c r="AK6" i="1" s="1"/>
  <c r="AK7" i="1" a="1"/>
  <c r="AK7" i="1" s="1"/>
  <c r="AK8" i="1" a="1"/>
  <c r="AK8" i="1"/>
  <c r="AK9" i="1" a="1"/>
  <c r="AK9" i="1" s="1"/>
  <c r="AK10" i="1" a="1"/>
  <c r="AK10" i="1"/>
  <c r="AK11" i="1" a="1"/>
  <c r="AK11" i="1" s="1"/>
  <c r="AK12" i="1" a="1"/>
  <c r="AK12" i="1"/>
  <c r="AK13" i="1" a="1"/>
  <c r="AK13" i="1" s="1"/>
  <c r="AK14" i="1" a="1"/>
  <c r="AK14" i="1"/>
  <c r="AK15" i="1" a="1"/>
  <c r="AK15" i="1" s="1"/>
  <c r="AK16" i="1" a="1"/>
  <c r="AK16" i="1" s="1"/>
  <c r="AK17" i="1" a="1"/>
  <c r="AK17" i="1" s="1"/>
  <c r="AK18" i="1" a="1"/>
  <c r="AK18" i="1" s="1"/>
  <c r="AK19" i="1" a="1"/>
  <c r="AK19" i="1"/>
  <c r="AK20" i="1" a="1"/>
  <c r="AK20" i="1" s="1"/>
  <c r="AK21" i="1" a="1"/>
  <c r="AK21" i="1" s="1"/>
  <c r="AK22" i="1" a="1"/>
  <c r="AK22" i="1"/>
  <c r="AK23" i="1" a="1"/>
  <c r="AK23" i="1" s="1"/>
  <c r="AK24" i="1" a="1"/>
  <c r="AK24" i="1"/>
  <c r="AK25" i="1" a="1"/>
  <c r="AK25" i="1" s="1"/>
  <c r="AK26" i="1" a="1"/>
  <c r="AK26" i="1"/>
  <c r="AK27" i="1" a="1"/>
  <c r="AK27" i="1" s="1"/>
  <c r="AK28" i="1" a="1"/>
  <c r="AK28" i="1"/>
  <c r="AK29" i="1" a="1"/>
  <c r="AK29" i="1" s="1"/>
  <c r="AK30" i="1" a="1"/>
  <c r="AK30" i="1"/>
  <c r="AK31" i="1" a="1"/>
  <c r="AK31" i="1"/>
  <c r="AK32" i="1" a="1"/>
  <c r="AK32" i="1" s="1"/>
  <c r="AK33" i="1" a="1"/>
  <c r="AK33" i="1" s="1"/>
  <c r="AK34" i="1" a="1"/>
  <c r="AK34" i="1"/>
  <c r="AK35" i="1" a="1"/>
  <c r="AK35" i="1" s="1"/>
  <c r="AK36" i="1" a="1"/>
  <c r="AK36" i="1" s="1"/>
  <c r="AK37" i="1" a="1"/>
  <c r="AK37" i="1"/>
  <c r="AK38" i="1" a="1"/>
  <c r="AK38" i="1"/>
  <c r="AK39" i="1" a="1"/>
  <c r="AK39" i="1" s="1"/>
  <c r="AK40" i="1" a="1"/>
  <c r="AK40" i="1"/>
  <c r="AK41" i="1" a="1"/>
  <c r="AK41" i="1" s="1"/>
  <c r="AK42" i="1" a="1"/>
  <c r="AK42" i="1" s="1"/>
  <c r="AK43" i="1" a="1"/>
  <c r="AK43" i="1"/>
  <c r="AK44" i="1" a="1"/>
  <c r="AK44" i="1" s="1"/>
  <c r="AK45" i="1" a="1"/>
  <c r="AK45" i="1" s="1"/>
  <c r="AK46" i="1" a="1"/>
  <c r="AK46" i="1"/>
  <c r="AK47" i="1" a="1"/>
  <c r="AK47" i="1" s="1"/>
  <c r="AK48" i="1" a="1"/>
  <c r="AK48" i="1"/>
  <c r="AK49" i="1" a="1"/>
  <c r="AK49" i="1" s="1"/>
  <c r="AK50" i="1" a="1"/>
  <c r="AK50" i="1"/>
  <c r="AK51" i="1" a="1"/>
  <c r="AK51" i="1" s="1"/>
  <c r="AK52" i="1" a="1"/>
  <c r="AK52" i="1" s="1"/>
  <c r="AK53" i="1" a="1"/>
  <c r="AK53" i="1" s="1"/>
  <c r="AK54" i="1" a="1"/>
  <c r="AK54" i="1" s="1"/>
  <c r="AK55" i="1" a="1"/>
  <c r="AK55" i="1"/>
  <c r="AK56" i="1" a="1"/>
  <c r="AK56" i="1" s="1"/>
  <c r="AK57" i="1" a="1"/>
  <c r="AK57" i="1" s="1"/>
  <c r="AK58" i="1" a="1"/>
  <c r="AK58" i="1"/>
  <c r="AK59" i="1" a="1"/>
  <c r="AK59" i="1" s="1"/>
  <c r="AK60" i="1" a="1"/>
  <c r="AK60" i="1"/>
  <c r="AK61" i="1" a="1"/>
  <c r="AK61" i="1" s="1"/>
  <c r="AK62" i="1" a="1"/>
  <c r="AK62" i="1"/>
  <c r="AK63" i="1" a="1"/>
  <c r="AK63" i="1" s="1"/>
  <c r="AK64" i="1" a="1"/>
  <c r="AK64" i="1"/>
  <c r="AK65" i="1" a="1"/>
  <c r="AK65" i="1" s="1"/>
  <c r="AK66" i="1" a="1"/>
  <c r="AK66" i="1" s="1"/>
  <c r="AK67" i="1" a="1"/>
  <c r="AK67" i="1"/>
  <c r="AK68" i="1" a="1"/>
  <c r="AK68" i="1" s="1"/>
  <c r="AK69" i="1" a="1"/>
  <c r="AK69" i="1" s="1"/>
  <c r="AK70" i="1" a="1"/>
  <c r="AK70" i="1"/>
  <c r="AK71" i="1" a="1"/>
  <c r="AK71" i="1" s="1"/>
  <c r="AK72" i="1" a="1"/>
  <c r="AK72" i="1"/>
  <c r="AK73" i="1" a="1"/>
  <c r="AK73" i="1" s="1"/>
  <c r="AK74" i="1" a="1"/>
  <c r="AK74" i="1"/>
  <c r="AK75" i="1" a="1"/>
  <c r="AK75" i="1" s="1"/>
  <c r="AK76" i="1" a="1"/>
  <c r="AK76" i="1"/>
  <c r="AK77" i="1" a="1"/>
  <c r="AK77" i="1" s="1"/>
  <c r="AK78" i="1" a="1"/>
  <c r="AK78" i="1" s="1"/>
  <c r="AK79" i="1" a="1"/>
  <c r="AK79" i="1"/>
  <c r="AK80" i="1" a="1"/>
  <c r="AK80" i="1" s="1"/>
  <c r="AK81" i="1" a="1"/>
  <c r="AK81" i="1" s="1"/>
  <c r="AK82" i="1" a="1"/>
  <c r="AK82" i="1"/>
  <c r="AK83" i="1" a="1"/>
  <c r="AK83" i="1" s="1"/>
  <c r="AK84" i="1" a="1"/>
  <c r="AK84" i="1"/>
  <c r="AK85" i="1" a="1"/>
  <c r="AK85" i="1" s="1"/>
  <c r="AK86" i="1" a="1"/>
  <c r="AK86" i="1" s="1"/>
  <c r="AK87" i="1" a="1"/>
  <c r="AK87" i="1" s="1"/>
  <c r="AK88" i="1" a="1"/>
  <c r="AK88" i="1" s="1"/>
  <c r="AK89" i="1" a="1"/>
  <c r="AK89" i="1" s="1"/>
  <c r="AK90" i="1" a="1"/>
  <c r="AK90" i="1" s="1"/>
  <c r="AK91" i="1" a="1"/>
  <c r="AK91" i="1"/>
  <c r="AK92" i="1" a="1"/>
  <c r="AK92" i="1" s="1"/>
  <c r="AK93" i="1" a="1"/>
  <c r="AK93" i="1" s="1"/>
  <c r="AK94" i="1" a="1"/>
  <c r="AK94" i="1" s="1"/>
  <c r="AK95" i="1" a="1"/>
  <c r="AK95" i="1" s="1"/>
  <c r="AK96" i="1" a="1"/>
  <c r="AK96" i="1"/>
  <c r="AK97" i="1" a="1"/>
  <c r="AK97" i="1" s="1"/>
  <c r="AK98" i="1" a="1"/>
  <c r="AK98" i="1"/>
  <c r="AK99" i="1" a="1"/>
  <c r="AK99" i="1" s="1"/>
  <c r="AK100" i="1" a="1"/>
  <c r="AK100" i="1"/>
  <c r="AK101" i="1" a="1"/>
  <c r="AK101" i="1" s="1"/>
  <c r="AK102" i="1" a="1"/>
  <c r="AK102" i="1" s="1"/>
  <c r="AK103" i="1" a="1"/>
  <c r="AK103" i="1" s="1"/>
  <c r="AK104" i="1" a="1"/>
  <c r="AK104" i="1" s="1"/>
  <c r="AK105" i="1" a="1"/>
  <c r="AK105" i="1" s="1"/>
  <c r="AK106" i="1" a="1"/>
  <c r="AK106" i="1" s="1"/>
  <c r="AK107" i="1" a="1"/>
  <c r="AK107" i="1" s="1"/>
  <c r="AK108" i="1" a="1"/>
  <c r="AK108" i="1"/>
  <c r="AK109" i="1" a="1"/>
  <c r="AK109" i="1"/>
  <c r="AK110" i="1" a="1"/>
  <c r="AK110" i="1" s="1"/>
  <c r="AK111" i="1" a="1"/>
  <c r="AK111" i="1" s="1"/>
  <c r="AK112" i="1" a="1"/>
  <c r="AK112" i="1"/>
  <c r="AK113" i="1" a="1"/>
  <c r="AK113" i="1" s="1"/>
  <c r="AK114" i="1" a="1"/>
  <c r="AK114" i="1" s="1"/>
  <c r="AK115" i="1" a="1"/>
  <c r="AK115" i="1" s="1"/>
  <c r="AK116" i="1" a="1"/>
  <c r="AK116" i="1"/>
  <c r="AK117" i="1" a="1"/>
  <c r="AK117" i="1" s="1"/>
  <c r="AK118" i="1" a="1"/>
  <c r="AK118" i="1"/>
  <c r="AK119" i="1" a="1"/>
  <c r="AK119" i="1" s="1"/>
  <c r="AK120" i="1" a="1"/>
  <c r="AK120" i="1"/>
  <c r="AK121" i="1" a="1"/>
  <c r="AK121" i="1" s="1"/>
  <c r="AK122" i="1" a="1"/>
  <c r="AK122" i="1" s="1"/>
  <c r="AK123" i="1" a="1"/>
  <c r="AK123" i="1" s="1"/>
  <c r="AK124" i="1" a="1"/>
  <c r="AK124" i="1" s="1"/>
  <c r="AK125" i="1" a="1"/>
  <c r="AK125" i="1" s="1"/>
  <c r="AK126" i="1" a="1"/>
  <c r="AK126" i="1" s="1"/>
  <c r="AK127" i="1" a="1"/>
  <c r="AK127" i="1"/>
  <c r="AK128" i="1" a="1"/>
  <c r="AK128" i="1" s="1"/>
  <c r="AK129" i="1" a="1"/>
  <c r="AK129" i="1" s="1"/>
  <c r="AK130" i="1" a="1"/>
  <c r="AK130" i="1"/>
  <c r="AK131" i="1" a="1"/>
  <c r="AK131" i="1" s="1"/>
  <c r="AK132" i="1" a="1"/>
  <c r="AK132" i="1" s="1"/>
  <c r="AK133" i="1" a="1"/>
  <c r="AK133" i="1" s="1"/>
  <c r="AK134" i="1" a="1"/>
  <c r="AK134" i="1"/>
  <c r="AK135" i="1" a="1"/>
  <c r="AK135" i="1" s="1"/>
  <c r="AK136" i="1" a="1"/>
  <c r="AK136" i="1"/>
  <c r="AK137" i="1" a="1"/>
  <c r="AK137" i="1" s="1"/>
  <c r="AK138" i="1" a="1"/>
  <c r="AK138" i="1" s="1"/>
  <c r="AK139" i="1" a="1"/>
  <c r="AK139" i="1" s="1"/>
  <c r="AK140" i="1" a="1"/>
  <c r="AK140" i="1" s="1"/>
  <c r="AK141" i="1" a="1"/>
  <c r="AK141" i="1" s="1"/>
  <c r="AK142" i="1" a="1"/>
  <c r="AK142" i="1"/>
  <c r="AK143" i="1" a="1"/>
  <c r="AK143" i="1" s="1"/>
  <c r="AK144" i="1" a="1"/>
  <c r="AK144" i="1"/>
  <c r="AK145" i="1" a="1"/>
  <c r="AK145" i="1" s="1"/>
  <c r="AK146" i="1" a="1"/>
  <c r="AK146" i="1" s="1"/>
  <c r="AK147" i="1" a="1"/>
  <c r="AK147" i="1" s="1"/>
  <c r="AK148" i="1" a="1"/>
  <c r="AK148" i="1"/>
  <c r="AK149" i="1" a="1"/>
  <c r="AK149" i="1" s="1"/>
  <c r="AK150" i="1" a="1"/>
  <c r="AK150" i="1" s="1"/>
  <c r="AK151" i="1" a="1"/>
  <c r="AK151" i="1"/>
  <c r="AK152" i="1" a="1"/>
  <c r="AK152" i="1"/>
  <c r="AK153" i="1" a="1"/>
  <c r="AK153" i="1" s="1"/>
  <c r="AK154" i="1" a="1"/>
  <c r="AK154" i="1"/>
  <c r="AK155" i="1" a="1"/>
  <c r="AK155" i="1" s="1"/>
  <c r="AK156" i="1" a="1"/>
  <c r="AK156" i="1"/>
  <c r="AK157" i="1" a="1"/>
  <c r="AK157" i="1" s="1"/>
  <c r="AK158" i="1" a="1"/>
  <c r="AK158" i="1"/>
  <c r="AK159" i="1" a="1"/>
  <c r="AK159" i="1" s="1"/>
  <c r="AK160" i="1" a="1"/>
  <c r="AK160" i="1" s="1"/>
  <c r="AK161" i="1" a="1"/>
  <c r="AK161" i="1" s="1"/>
  <c r="AK162" i="1" a="1"/>
  <c r="AK162" i="1" s="1"/>
  <c r="AK163" i="1" a="1"/>
  <c r="AK163" i="1"/>
  <c r="AK164" i="1" a="1"/>
  <c r="AK164" i="1" s="1"/>
  <c r="AK165" i="1" a="1"/>
  <c r="AK165" i="1" s="1"/>
  <c r="AK166" i="1" a="1"/>
  <c r="AK166" i="1" s="1"/>
  <c r="AK167" i="1" a="1"/>
  <c r="AK167" i="1" s="1"/>
  <c r="AK168" i="1" a="1"/>
  <c r="AK168" i="1" s="1"/>
  <c r="AK169" i="1" a="1"/>
  <c r="AK169" i="1" s="1"/>
  <c r="AK170" i="1" a="1"/>
  <c r="AK170" i="1"/>
  <c r="AK171" i="1" a="1"/>
  <c r="AK171" i="1" s="1"/>
  <c r="AK172" i="1" a="1"/>
  <c r="AK172" i="1"/>
  <c r="AK173" i="1" a="1"/>
  <c r="AK173" i="1" s="1"/>
  <c r="AK174" i="1" a="1"/>
  <c r="AK174" i="1"/>
  <c r="AK175" i="1" a="1"/>
  <c r="AK175" i="1" s="1"/>
  <c r="AK176" i="1" a="1"/>
  <c r="AK176" i="1" s="1"/>
  <c r="AK177" i="1" a="1"/>
  <c r="AK177" i="1" s="1"/>
  <c r="AK178" i="1" a="1"/>
  <c r="AK178" i="1"/>
  <c r="AK179" i="1" a="1"/>
  <c r="AK179" i="1" s="1"/>
  <c r="AK180" i="1" a="1"/>
  <c r="AK180" i="1" s="1"/>
  <c r="AK181" i="1" a="1"/>
  <c r="AK181" i="1" s="1"/>
  <c r="AK182" i="1" a="1"/>
  <c r="AK182" i="1" s="1"/>
  <c r="AK183" i="1" a="1"/>
  <c r="AK183" i="1" s="1"/>
  <c r="AK184" i="1" a="1"/>
  <c r="AK184" i="1"/>
  <c r="AK185" i="1" a="1"/>
  <c r="AK185" i="1" s="1"/>
  <c r="AK186" i="1" a="1"/>
  <c r="AK186" i="1" s="1"/>
  <c r="AK187" i="1" a="1"/>
  <c r="AK187" i="1"/>
  <c r="AK188" i="1" a="1"/>
  <c r="AK188" i="1" s="1"/>
  <c r="AK189" i="1" a="1"/>
  <c r="AK189" i="1" s="1"/>
  <c r="AK190" i="1" a="1"/>
  <c r="AK190" i="1"/>
  <c r="AK191" i="1" a="1"/>
  <c r="AK191" i="1" s="1"/>
  <c r="AK192" i="1" a="1"/>
  <c r="AK192" i="1"/>
  <c r="AK193" i="1" a="1"/>
  <c r="AK193" i="1" s="1"/>
  <c r="AK194" i="1" a="1"/>
  <c r="AK194" i="1"/>
  <c r="AK195" i="1" a="1"/>
  <c r="AK195" i="1" s="1"/>
  <c r="AK196" i="1" a="1"/>
  <c r="AK196" i="1" s="1"/>
  <c r="AK197" i="1" a="1"/>
  <c r="AK197" i="1" s="1"/>
  <c r="AK198" i="1" a="1"/>
  <c r="AK198" i="1" s="1"/>
  <c r="AK199" i="1" a="1"/>
  <c r="AK199" i="1"/>
  <c r="AK200" i="1" a="1"/>
  <c r="AK200" i="1" s="1"/>
  <c r="AK201" i="1" a="1"/>
  <c r="AK201" i="1" s="1"/>
  <c r="AK202" i="1" a="1"/>
  <c r="AK202" i="1"/>
  <c r="AK203" i="1" a="1"/>
  <c r="AK203" i="1" s="1"/>
  <c r="AK204" i="1" a="1"/>
  <c r="AK204" i="1" s="1"/>
  <c r="AK205" i="1" a="1"/>
  <c r="AK205" i="1" s="1"/>
  <c r="AK206" i="1" a="1"/>
  <c r="AK206" i="1"/>
  <c r="AK207" i="1" a="1"/>
  <c r="AK207" i="1" s="1"/>
  <c r="AK208" i="1" a="1"/>
  <c r="AK208" i="1"/>
  <c r="AK209" i="1" a="1"/>
  <c r="AK209" i="1" s="1"/>
  <c r="AK210" i="1" a="1"/>
  <c r="AK210" i="1"/>
  <c r="AK211" i="1" a="1"/>
  <c r="AK211" i="1" s="1"/>
  <c r="AK212" i="1" a="1"/>
  <c r="AK212" i="1" s="1"/>
  <c r="AK213" i="1" a="1"/>
  <c r="AK213" i="1" s="1"/>
  <c r="AK214" i="1" a="1"/>
  <c r="AK214" i="1" s="1"/>
  <c r="AK215" i="1" a="1"/>
  <c r="AK215" i="1" s="1"/>
  <c r="AK216" i="1" a="1"/>
  <c r="AK216" i="1" s="1"/>
  <c r="AK217" i="1" a="1"/>
  <c r="AK217" i="1"/>
  <c r="AK218" i="1" a="1"/>
  <c r="AK218" i="1" s="1"/>
  <c r="AK219" i="1" a="1"/>
  <c r="AK219" i="1" s="1"/>
  <c r="AK220" i="1" a="1"/>
  <c r="AK220" i="1"/>
  <c r="AK221" i="1" a="1"/>
  <c r="AK221" i="1" s="1"/>
  <c r="AK222" i="1" a="1"/>
  <c r="AK222" i="1" s="1"/>
  <c r="AK223" i="1" a="1"/>
  <c r="AK223" i="1" s="1"/>
  <c r="AK224" i="1" a="1"/>
  <c r="AK224" i="1" s="1"/>
  <c r="AK225" i="1" a="1"/>
  <c r="AK225" i="1" s="1"/>
  <c r="AK226" i="1" a="1"/>
  <c r="AK226" i="1"/>
  <c r="AK227" i="1" a="1"/>
  <c r="AK227" i="1" s="1"/>
  <c r="AK228" i="1" a="1"/>
  <c r="AK228" i="1"/>
  <c r="AK229" i="1" a="1"/>
  <c r="AK229" i="1" s="1"/>
  <c r="AK230" i="1" a="1"/>
  <c r="AK230" i="1" s="1"/>
  <c r="AK231" i="1" a="1"/>
  <c r="AK231" i="1" s="1"/>
  <c r="AK232" i="1" a="1"/>
  <c r="AK232" i="1" s="1"/>
  <c r="AK233" i="1" a="1"/>
  <c r="AK233" i="1" s="1"/>
  <c r="AK234" i="1" a="1"/>
  <c r="AK234" i="1" s="1"/>
  <c r="AK235" i="1" a="1"/>
  <c r="AK235" i="1"/>
  <c r="AK236" i="1" a="1"/>
  <c r="AK236" i="1" s="1"/>
  <c r="AK237" i="1" a="1"/>
  <c r="AK237" i="1" s="1"/>
  <c r="AK238" i="1" a="1"/>
  <c r="AK238" i="1"/>
  <c r="AK239" i="1" a="1"/>
  <c r="AK239" i="1" s="1"/>
  <c r="AK240" i="1" a="1"/>
  <c r="AK240" i="1" s="1"/>
  <c r="AK241" i="1" a="1"/>
  <c r="AK241" i="1" s="1"/>
  <c r="AK242" i="1" a="1"/>
  <c r="AK242" i="1"/>
  <c r="AK243" i="1" a="1"/>
  <c r="AK243" i="1" s="1"/>
  <c r="AK244" i="1" a="1"/>
  <c r="AK244" i="1"/>
  <c r="AK245" i="1" a="1"/>
  <c r="AK245" i="1" s="1"/>
  <c r="AK246" i="1" a="1"/>
  <c r="AK246" i="1"/>
  <c r="AK247" i="1" a="1"/>
  <c r="AK247" i="1" s="1"/>
  <c r="AK248" i="1" a="1"/>
  <c r="AK248" i="1" s="1"/>
  <c r="AK249" i="1" a="1"/>
  <c r="AK249" i="1" s="1"/>
  <c r="AK250" i="1" a="1"/>
  <c r="AK250" i="1"/>
  <c r="AK251" i="1" a="1"/>
  <c r="AK251" i="1" s="1"/>
  <c r="AK252" i="1" a="1"/>
  <c r="AK252" i="1"/>
  <c r="AK253" i="1" a="1"/>
  <c r="AK253" i="1"/>
  <c r="AK254" i="1" a="1"/>
  <c r="AK254" i="1" s="1"/>
  <c r="AK255" i="1" a="1"/>
  <c r="AK255" i="1" s="1"/>
  <c r="AK256" i="1" a="1"/>
  <c r="AK256" i="1"/>
  <c r="AK257" i="1" a="1"/>
  <c r="AK257" i="1" s="1"/>
  <c r="AK258" i="1" a="1"/>
  <c r="AK258" i="1" s="1"/>
  <c r="AK259" i="1" a="1"/>
  <c r="AK259" i="1" s="1"/>
  <c r="AK260" i="1" a="1"/>
  <c r="AK260" i="1"/>
  <c r="AK261" i="1" a="1"/>
  <c r="AK261" i="1" s="1"/>
  <c r="AK262" i="1" a="1"/>
  <c r="AK262" i="1"/>
  <c r="AK263" i="1" a="1"/>
  <c r="AK263" i="1" s="1"/>
  <c r="AK264" i="1" a="1"/>
  <c r="AK264" i="1"/>
  <c r="AK265" i="1" a="1"/>
  <c r="AK265" i="1" s="1"/>
  <c r="AK266" i="1" a="1"/>
  <c r="AK266" i="1"/>
  <c r="AK267" i="1" a="1"/>
  <c r="AK267" i="1" s="1"/>
  <c r="AK268" i="1" a="1"/>
  <c r="AK268" i="1" s="1"/>
  <c r="AK269" i="1" a="1"/>
  <c r="AK269" i="1" s="1"/>
  <c r="AK270" i="1" a="1"/>
  <c r="AK270" i="1" s="1"/>
  <c r="AK271" i="1" a="1"/>
  <c r="AK271" i="1"/>
  <c r="AK272" i="1" a="1"/>
  <c r="AK272" i="1" s="1"/>
  <c r="AK273" i="1" a="1"/>
  <c r="AK273" i="1" s="1"/>
  <c r="AK274" i="1" a="1"/>
  <c r="AK274" i="1" s="1"/>
  <c r="AK275" i="1" a="1"/>
  <c r="AK275" i="1" s="1"/>
  <c r="AK276" i="1" a="1"/>
  <c r="AK276" i="1" s="1"/>
  <c r="AK277" i="1" a="1"/>
  <c r="AK277" i="1" s="1"/>
  <c r="AK278" i="1" a="1"/>
  <c r="AK278" i="1"/>
  <c r="AK279" i="1" a="1"/>
  <c r="AK279" i="1" s="1"/>
  <c r="AK280" i="1" a="1"/>
  <c r="AK280" i="1"/>
  <c r="AK281" i="1" a="1"/>
  <c r="AK281" i="1" s="1"/>
  <c r="AK282" i="1" a="1"/>
  <c r="AK282" i="1"/>
  <c r="AK283" i="1" a="1"/>
  <c r="AK283" i="1" s="1"/>
  <c r="AK284" i="1" a="1"/>
  <c r="AK284" i="1" s="1"/>
  <c r="AK285" i="1" a="1"/>
  <c r="AK285" i="1" s="1"/>
  <c r="AK286" i="1" a="1"/>
  <c r="AK286" i="1"/>
  <c r="AK287" i="1" a="1"/>
  <c r="AK287" i="1" s="1"/>
  <c r="AK288" i="1" a="1"/>
  <c r="AK288" i="1" s="1"/>
  <c r="AK289" i="1" a="1"/>
  <c r="AK289" i="1"/>
  <c r="AK290" i="1" a="1"/>
  <c r="AK290" i="1" s="1"/>
  <c r="AK291" i="1" a="1"/>
  <c r="AK291" i="1" s="1"/>
  <c r="AK292" i="1" a="1"/>
  <c r="AK292" i="1"/>
  <c r="AK293" i="1" a="1"/>
  <c r="AK293" i="1" s="1"/>
  <c r="AK294" i="1" a="1"/>
  <c r="AK294" i="1" s="1"/>
  <c r="AK295" i="1" a="1"/>
  <c r="AK295" i="1"/>
  <c r="AK296" i="1" a="1"/>
  <c r="AK296" i="1" s="1"/>
  <c r="AK297" i="1" a="1"/>
  <c r="AK297" i="1" s="1"/>
  <c r="AK298" i="1" a="1"/>
  <c r="AK298" i="1"/>
  <c r="AK299" i="1" a="1"/>
  <c r="AK299" i="1" s="1"/>
  <c r="AK300" i="1" a="1"/>
  <c r="AK300" i="1"/>
  <c r="AK301" i="1" a="1"/>
  <c r="AK301" i="1" s="1"/>
  <c r="AK302" i="1" a="1"/>
  <c r="AK302" i="1"/>
  <c r="AK303" i="1" a="1"/>
  <c r="AK303" i="1" s="1"/>
  <c r="AK304" i="1" a="1"/>
  <c r="AK304" i="1" s="1"/>
  <c r="AK305" i="1" a="1"/>
  <c r="AK305" i="1" s="1"/>
  <c r="AK306" i="1" a="1"/>
  <c r="AK306" i="1" s="1"/>
  <c r="AK307" i="1" a="1"/>
  <c r="AK307" i="1"/>
  <c r="AK308" i="1" a="1"/>
  <c r="AK308" i="1" s="1"/>
  <c r="AK309" i="1" a="1"/>
  <c r="AK309" i="1" s="1"/>
  <c r="AK310" i="1" a="1"/>
  <c r="AK310" i="1"/>
  <c r="AK311" i="1" a="1"/>
  <c r="AK311" i="1" s="1"/>
  <c r="AK312" i="1" a="1"/>
  <c r="AK312" i="1" s="1"/>
  <c r="AK313" i="1" a="1"/>
  <c r="AK313" i="1" s="1"/>
  <c r="AK314" i="1" a="1"/>
  <c r="AK314" i="1"/>
  <c r="AK315" i="1" a="1"/>
  <c r="AK315" i="1" s="1"/>
  <c r="AK316" i="1" a="1"/>
  <c r="AK316" i="1"/>
  <c r="AK317" i="1" a="1"/>
  <c r="AK317" i="1" s="1"/>
  <c r="AK318" i="1" a="1"/>
  <c r="AK318" i="1" s="1"/>
  <c r="AK319" i="1" a="1"/>
  <c r="AK319" i="1" s="1"/>
  <c r="AK320" i="1" a="1"/>
  <c r="AK320" i="1" s="1"/>
  <c r="AK321" i="1" a="1"/>
  <c r="AK321" i="1" s="1"/>
  <c r="AK322" i="1" a="1"/>
  <c r="AK322" i="1" s="1"/>
  <c r="AK323" i="1" a="1"/>
  <c r="AK323" i="1" s="1"/>
  <c r="AK324" i="1" a="1"/>
  <c r="AK324" i="1"/>
  <c r="AK325" i="1" a="1"/>
  <c r="AK325" i="1"/>
  <c r="AK326" i="1" a="1"/>
  <c r="AK326" i="1" s="1"/>
  <c r="AK327" i="1" a="1"/>
  <c r="AK327" i="1" s="1"/>
  <c r="AK328" i="1" a="1"/>
  <c r="AK328" i="1"/>
  <c r="AK329" i="1" a="1"/>
  <c r="AK329" i="1" s="1"/>
  <c r="AK330" i="1" a="1"/>
  <c r="AK330" i="1" s="1"/>
  <c r="AK331" i="1" a="1"/>
  <c r="AK331" i="1" s="1"/>
  <c r="AK332" i="1" a="1"/>
  <c r="AK332" i="1"/>
  <c r="AK333" i="1" a="1"/>
  <c r="AK333" i="1" s="1"/>
  <c r="AK334" i="1" a="1"/>
  <c r="AK334" i="1"/>
  <c r="AK335" i="1" a="1"/>
  <c r="AK335" i="1" s="1"/>
  <c r="AK336" i="1" a="1"/>
  <c r="AK336" i="1"/>
  <c r="AK337" i="1" a="1"/>
  <c r="AK337" i="1" s="1"/>
  <c r="AK338" i="1" a="1"/>
  <c r="AK338" i="1" s="1"/>
  <c r="AK339" i="1" a="1"/>
  <c r="AK339" i="1" s="1"/>
  <c r="AK340" i="1" a="1"/>
  <c r="AK340" i="1" s="1"/>
  <c r="AK341" i="1" a="1"/>
  <c r="AK341" i="1" s="1"/>
  <c r="AK342" i="1" a="1"/>
  <c r="AK342" i="1" s="1"/>
  <c r="AK343" i="1" a="1"/>
  <c r="AK343" i="1"/>
  <c r="AK344" i="1" a="1"/>
  <c r="AK344" i="1" s="1"/>
  <c r="AK345" i="1" a="1"/>
  <c r="AK345" i="1" s="1"/>
  <c r="AK346" i="1" a="1"/>
  <c r="AK346" i="1"/>
  <c r="AK347" i="1" a="1"/>
  <c r="AK347" i="1" s="1"/>
  <c r="AK348" i="1" a="1"/>
  <c r="AK348" i="1" s="1"/>
  <c r="AK349" i="1" a="1"/>
  <c r="AK349" i="1" s="1"/>
  <c r="AK350" i="1" a="1"/>
  <c r="AK350" i="1"/>
  <c r="AK351" i="1" a="1"/>
  <c r="AK351" i="1" s="1"/>
  <c r="AK352" i="1" a="1"/>
  <c r="AK352" i="1"/>
  <c r="AK353" i="1" a="1"/>
  <c r="AK353" i="1" s="1"/>
  <c r="AK354" i="1" a="1"/>
  <c r="AK354" i="1" s="1"/>
  <c r="AK355" i="1" a="1"/>
  <c r="AK355" i="1" s="1"/>
  <c r="AK356" i="1" a="1"/>
  <c r="AK356" i="1" s="1"/>
  <c r="AK357" i="1" a="1"/>
  <c r="AK357" i="1" s="1"/>
  <c r="AK358" i="1" a="1"/>
  <c r="AK358" i="1"/>
  <c r="AK359" i="1" a="1"/>
  <c r="AK359" i="1" s="1"/>
  <c r="AK360" i="1" a="1"/>
  <c r="AK360" i="1"/>
  <c r="AK361" i="1" a="1"/>
  <c r="AK361" i="1" s="1"/>
  <c r="AK362" i="1" a="1"/>
  <c r="AK362" i="1" s="1"/>
  <c r="AK363" i="1" a="1"/>
  <c r="AK363" i="1" s="1"/>
  <c r="AK364" i="1" a="1"/>
  <c r="AK364" i="1"/>
  <c r="AK365" i="1" a="1"/>
  <c r="AK365" i="1" s="1"/>
  <c r="AK366" i="1" a="1"/>
  <c r="AK366" i="1" s="1"/>
  <c r="AK367" i="1" a="1"/>
  <c r="AK367" i="1"/>
  <c r="AK368" i="1" a="1"/>
  <c r="AK368" i="1"/>
  <c r="AK369" i="1" a="1"/>
  <c r="AK369" i="1" s="1"/>
  <c r="AK370" i="1" a="1"/>
  <c r="AK370" i="1"/>
  <c r="AK371" i="1" a="1"/>
  <c r="AK371" i="1" s="1"/>
  <c r="AK372" i="1" a="1"/>
  <c r="AK372" i="1"/>
  <c r="AK373" i="1" a="1"/>
  <c r="AK373" i="1" s="1"/>
  <c r="AK374" i="1" a="1"/>
  <c r="AK374" i="1"/>
  <c r="AK375" i="1" a="1"/>
  <c r="AK375" i="1" s="1"/>
  <c r="AK376" i="1" a="1"/>
  <c r="AK376" i="1"/>
  <c r="AK377" i="1" a="1"/>
  <c r="AK377" i="1" s="1"/>
  <c r="AK378" i="1" a="1"/>
  <c r="AK378" i="1" s="1"/>
  <c r="AK379" i="1" a="1"/>
  <c r="AK379" i="1"/>
  <c r="AK380" i="1" a="1"/>
  <c r="AK380" i="1" s="1"/>
  <c r="AK381" i="1" a="1"/>
  <c r="AK381" i="1" s="1"/>
  <c r="AK382" i="1" a="1"/>
  <c r="AK382" i="1" s="1"/>
  <c r="AK383" i="1" a="1"/>
  <c r="AK383" i="1" s="1"/>
  <c r="AK384" i="1" a="1"/>
  <c r="AK384" i="1" s="1"/>
  <c r="AK385" i="1" a="1"/>
  <c r="AK385" i="1" s="1"/>
  <c r="AK386" i="1" a="1"/>
  <c r="AK386" i="1"/>
  <c r="AK387" i="1" a="1"/>
  <c r="AK387" i="1" s="1"/>
  <c r="AK388" i="1" a="1"/>
  <c r="AK388" i="1"/>
  <c r="AK389" i="1" a="1"/>
  <c r="AK389" i="1" s="1"/>
  <c r="AK390" i="1" a="1"/>
  <c r="AK390" i="1" s="1"/>
  <c r="AK391" i="1" a="1"/>
  <c r="AK391" i="1" s="1"/>
  <c r="AK392" i="1" a="1"/>
  <c r="AK392" i="1" s="1"/>
  <c r="AK393" i="1" a="1"/>
  <c r="AK393" i="1" s="1"/>
  <c r="AK394" i="1" a="1"/>
  <c r="AK394" i="1"/>
  <c r="AK395" i="1" a="1"/>
  <c r="AK395" i="1" s="1"/>
  <c r="AK396" i="1" a="1"/>
  <c r="AK396" i="1"/>
  <c r="AK397" i="1" a="1"/>
  <c r="AK397" i="1"/>
  <c r="AK398" i="1" a="1"/>
  <c r="AK398" i="1" s="1"/>
  <c r="AK399" i="1" a="1"/>
  <c r="AK399" i="1" s="1"/>
  <c r="AK400" i="1" a="1"/>
  <c r="AK400" i="1"/>
  <c r="AK401" i="1" a="1"/>
  <c r="AK401" i="1" s="1"/>
  <c r="AK402" i="1" a="1"/>
  <c r="AK402" i="1" s="1"/>
  <c r="AK403" i="1" a="1"/>
  <c r="AK403" i="1" s="1"/>
  <c r="AK404" i="1" a="1"/>
  <c r="AK404" i="1"/>
  <c r="AK405" i="1" a="1"/>
  <c r="AK405" i="1" s="1"/>
  <c r="AK406" i="1" a="1"/>
  <c r="AK406" i="1"/>
  <c r="AK407" i="1" a="1"/>
  <c r="AK407" i="1" s="1"/>
  <c r="AK408" i="1" a="1"/>
  <c r="AK408" i="1"/>
  <c r="AK409" i="1" a="1"/>
  <c r="AK409" i="1" s="1"/>
  <c r="AK410" i="1" a="1"/>
  <c r="AK410" i="1"/>
  <c r="AK411" i="1" a="1"/>
  <c r="AK411" i="1" s="1"/>
  <c r="AK412" i="1" a="1"/>
  <c r="AK412" i="1"/>
  <c r="AK413" i="1" a="1"/>
  <c r="AK413" i="1" s="1"/>
  <c r="AK414" i="1" a="1"/>
  <c r="AK414" i="1" s="1"/>
  <c r="AK415" i="1" a="1"/>
  <c r="AK415" i="1"/>
  <c r="AK416" i="1" a="1"/>
  <c r="AK416" i="1" s="1"/>
  <c r="AK417" i="1" a="1"/>
  <c r="AK417" i="1" s="1"/>
  <c r="AK418" i="1" a="1"/>
  <c r="AK418" i="1"/>
  <c r="AK419" i="1" a="1"/>
  <c r="AK419" i="1" s="1"/>
  <c r="AK420" i="1" a="1"/>
  <c r="AK420" i="1" s="1"/>
  <c r="AK421" i="1" a="1"/>
  <c r="AK421" i="1" s="1"/>
  <c r="AK422" i="1" a="1"/>
  <c r="AK422" i="1"/>
  <c r="AK423" i="1" a="1"/>
  <c r="AK423" i="1" s="1"/>
  <c r="AK424" i="1" a="1"/>
  <c r="AK424" i="1"/>
  <c r="AK425" i="1" a="1"/>
  <c r="AK425" i="1" s="1"/>
  <c r="AK426" i="1" a="1"/>
  <c r="AK426" i="1"/>
  <c r="AK427" i="1" a="1"/>
  <c r="AK427" i="1" s="1"/>
  <c r="AK428" i="1" a="1"/>
  <c r="AK428" i="1" s="1"/>
  <c r="AK429" i="1" a="1"/>
  <c r="AK429" i="1" s="1"/>
  <c r="AK430" i="1" a="1"/>
  <c r="AK430" i="1"/>
  <c r="AK431" i="1" a="1"/>
  <c r="AK431" i="1" s="1"/>
  <c r="AK432" i="1" a="1"/>
  <c r="AK432" i="1"/>
  <c r="AK433" i="1" a="1"/>
  <c r="AK433" i="1"/>
  <c r="AK434" i="1" a="1"/>
  <c r="AK434" i="1" s="1"/>
  <c r="AK435" i="1" a="1"/>
  <c r="AK435" i="1" s="1"/>
  <c r="AK436" i="1" a="1"/>
  <c r="AK436" i="1"/>
  <c r="AK437" i="1" a="1"/>
  <c r="AK437" i="1" s="1"/>
  <c r="AK438" i="1" a="1"/>
  <c r="AK438" i="1" s="1"/>
  <c r="AK439" i="1" a="1"/>
  <c r="AK439" i="1" s="1"/>
  <c r="AK440" i="1" a="1"/>
  <c r="AK440" i="1"/>
  <c r="AK441" i="1" a="1"/>
  <c r="AK441" i="1" s="1"/>
  <c r="AK442" i="1" a="1"/>
  <c r="AK442" i="1"/>
  <c r="AK443" i="1" a="1"/>
  <c r="AK443" i="1" s="1"/>
  <c r="AK444" i="1" a="1"/>
  <c r="AK444" i="1"/>
  <c r="AK445" i="1" a="1"/>
  <c r="AK445" i="1" s="1"/>
  <c r="AK446" i="1" a="1"/>
  <c r="AK446" i="1"/>
  <c r="AK447" i="1" a="1"/>
  <c r="AK447" i="1" s="1"/>
  <c r="AK448" i="1" a="1"/>
  <c r="AK448" i="1"/>
  <c r="AK449" i="1" a="1"/>
  <c r="AK449" i="1" s="1"/>
  <c r="AK450" i="1" a="1"/>
  <c r="AK450" i="1" s="1"/>
  <c r="AK451" i="1" a="1"/>
  <c r="AK451" i="1"/>
  <c r="AK452" i="1" a="1"/>
  <c r="AK452" i="1" s="1"/>
  <c r="AK453" i="1" a="1"/>
  <c r="AK453" i="1" s="1"/>
  <c r="AK454" i="1" a="1"/>
  <c r="AK454" i="1" s="1"/>
  <c r="AK455" i="1" a="1"/>
  <c r="AK455" i="1" s="1"/>
  <c r="AK456" i="1" a="1"/>
  <c r="AK456" i="1" s="1"/>
  <c r="AK457" i="1" a="1"/>
  <c r="AK457" i="1" s="1"/>
  <c r="AK458" i="1" a="1"/>
  <c r="AK458" i="1" s="1"/>
  <c r="AK459" i="1" a="1"/>
  <c r="AK459" i="1" s="1"/>
  <c r="AK460" i="1" a="1"/>
  <c r="AK460" i="1"/>
  <c r="AK461" i="1" a="1"/>
  <c r="AK461" i="1" s="1"/>
  <c r="AK462" i="1" a="1"/>
  <c r="AK462" i="1" s="1"/>
  <c r="AK463" i="1" a="1"/>
  <c r="AK463" i="1" s="1"/>
  <c r="AK464" i="1" a="1"/>
  <c r="AK464" i="1" s="1"/>
  <c r="AK465" i="1" a="1"/>
  <c r="AK465" i="1" s="1"/>
  <c r="AK466" i="1" a="1"/>
  <c r="AK466" i="1"/>
  <c r="AK467" i="1" a="1"/>
  <c r="AK467" i="1" s="1"/>
  <c r="AK468" i="1" a="1"/>
  <c r="AK468" i="1" s="1"/>
  <c r="AK469" i="1" a="1"/>
  <c r="AK469" i="1"/>
  <c r="AK470" i="1" a="1"/>
  <c r="AK470" i="1" s="1"/>
  <c r="AK471" i="1" a="1"/>
  <c r="AK471" i="1" s="1"/>
  <c r="AK472" i="1" a="1"/>
  <c r="AK472" i="1"/>
  <c r="AK473" i="1" a="1"/>
  <c r="AK473" i="1" s="1"/>
  <c r="AK474" i="1" a="1"/>
  <c r="AK474" i="1" s="1"/>
  <c r="AK475" i="1" a="1"/>
  <c r="AK475" i="1" s="1"/>
  <c r="AK476" i="1" a="1"/>
  <c r="AK476" i="1" s="1"/>
  <c r="AK477" i="1" a="1"/>
  <c r="AK477" i="1" s="1"/>
  <c r="AK478" i="1" a="1"/>
  <c r="AK478" i="1"/>
  <c r="AK479" i="1" a="1"/>
  <c r="AK479" i="1" s="1"/>
  <c r="AK480" i="1" a="1"/>
  <c r="AK480" i="1"/>
  <c r="AK481" i="1" a="1"/>
  <c r="AK481" i="1" s="1"/>
  <c r="AK482" i="1" a="1"/>
  <c r="AK482" i="1"/>
  <c r="AK483" i="1" a="1"/>
  <c r="AK483" i="1" s="1"/>
  <c r="AK484" i="1" a="1"/>
  <c r="AK484" i="1" s="1"/>
  <c r="AK485" i="1" a="1"/>
  <c r="AK485" i="1" s="1"/>
  <c r="AK486" i="1" a="1"/>
  <c r="AK486" i="1" s="1"/>
  <c r="AK487" i="1" a="1"/>
  <c r="AK487" i="1" s="1"/>
  <c r="AK488" i="1" a="1"/>
  <c r="AK488" i="1" s="1"/>
  <c r="AK489" i="1" a="1"/>
  <c r="AK489" i="1" s="1"/>
  <c r="AK490" i="1" a="1"/>
  <c r="AK490" i="1"/>
  <c r="AK491" i="1" a="1"/>
  <c r="AK491" i="1" s="1"/>
  <c r="AK492" i="1" a="1"/>
  <c r="AK492" i="1" s="1"/>
  <c r="AK493" i="1" a="1"/>
  <c r="AK493" i="1" s="1"/>
  <c r="AK494" i="1" a="1"/>
  <c r="AK494" i="1"/>
  <c r="AK495" i="1" a="1"/>
  <c r="AK495" i="1" s="1"/>
  <c r="AK496" i="1" a="1"/>
  <c r="AK496" i="1"/>
  <c r="AK497" i="1" a="1"/>
  <c r="AK497" i="1" s="1"/>
  <c r="AK498" i="1" a="1"/>
  <c r="AK498" i="1" s="1"/>
  <c r="AK499" i="1" a="1"/>
  <c r="AK499" i="1" s="1"/>
  <c r="AK500" i="1" a="1"/>
  <c r="AK500" i="1" s="1"/>
  <c r="AK501" i="1" a="1"/>
  <c r="AK501" i="1" s="1"/>
  <c r="AK502" i="1" a="1"/>
  <c r="AK502" i="1" s="1"/>
  <c r="AK503" i="1" a="1"/>
  <c r="AK503" i="1" s="1"/>
  <c r="AK504" i="1" a="1"/>
  <c r="AK504" i="1"/>
  <c r="AK505" i="1" a="1"/>
  <c r="AK505" i="1" s="1"/>
  <c r="AK506" i="1" a="1"/>
  <c r="AK506" i="1" s="1"/>
  <c r="AK507" i="1" a="1"/>
  <c r="AK507" i="1" s="1"/>
  <c r="AK508" i="1" a="1"/>
  <c r="AK508" i="1"/>
  <c r="AK509" i="1" a="1"/>
  <c r="AK509" i="1" s="1"/>
  <c r="AK510" i="1" a="1"/>
  <c r="AK510" i="1" s="1"/>
  <c r="AK511" i="1" a="1"/>
  <c r="AK511" i="1"/>
  <c r="AK512" i="1" a="1"/>
  <c r="AK512" i="1"/>
  <c r="AK513" i="1" a="1"/>
  <c r="AK513" i="1" s="1"/>
  <c r="AK514" i="1" a="1"/>
  <c r="AK514" i="1" s="1"/>
  <c r="AK515" i="1" a="1"/>
  <c r="AK515" i="1"/>
  <c r="AK516" i="1" a="1"/>
  <c r="AK516" i="1" s="1"/>
  <c r="AK517" i="1" a="1"/>
  <c r="AK517" i="1"/>
  <c r="AK518" i="1" a="1"/>
  <c r="AK518" i="1"/>
  <c r="AK519" i="1" a="1"/>
  <c r="AK519" i="1"/>
  <c r="AK520" i="1" a="1"/>
  <c r="AK520" i="1" s="1"/>
  <c r="AK521" i="1" a="1"/>
  <c r="AK521" i="1"/>
  <c r="AK522" i="1" a="1"/>
  <c r="AK522" i="1" s="1"/>
  <c r="AK523" i="1" a="1"/>
  <c r="AK523" i="1"/>
  <c r="AK524" i="1" a="1"/>
  <c r="AK524" i="1"/>
  <c r="AK525" i="1" a="1"/>
  <c r="AK525" i="1"/>
  <c r="AK526" i="1" a="1"/>
  <c r="AK526" i="1" s="1"/>
  <c r="AK527" i="1" a="1"/>
  <c r="AK527" i="1" s="1"/>
  <c r="AK528" i="1" a="1"/>
  <c r="AK528" i="1" s="1"/>
  <c r="AK529" i="1" a="1"/>
  <c r="AK529" i="1" s="1"/>
  <c r="AK530" i="1" a="1"/>
  <c r="AK530" i="1"/>
  <c r="AK531" i="1" a="1"/>
  <c r="AK531" i="1"/>
  <c r="AK532" i="1" a="1"/>
  <c r="AK532" i="1" s="1"/>
  <c r="AK533" i="1" a="1"/>
  <c r="AK533" i="1"/>
  <c r="AK534" i="1" a="1"/>
  <c r="AK534" i="1" s="1"/>
  <c r="AK535" i="1" a="1"/>
  <c r="AK535" i="1" s="1"/>
  <c r="AK536" i="1" a="1"/>
  <c r="AK536" i="1" s="1"/>
  <c r="AK537" i="1" a="1"/>
  <c r="AK537" i="1"/>
  <c r="AK538" i="1" a="1"/>
  <c r="AK538" i="1" s="1"/>
  <c r="AK539" i="1" a="1"/>
  <c r="AK539" i="1" s="1"/>
  <c r="AK540" i="1" a="1"/>
  <c r="AK540" i="1" s="1"/>
  <c r="AK541" i="1" a="1"/>
  <c r="AK541" i="1"/>
  <c r="AK542" i="1" a="1"/>
  <c r="AK542" i="1" s="1"/>
  <c r="AK543" i="1" a="1"/>
  <c r="AK543" i="1" s="1"/>
  <c r="AK544" i="1" a="1"/>
  <c r="AK544" i="1" s="1"/>
  <c r="AK545" i="1" a="1"/>
  <c r="AK545" i="1" s="1"/>
  <c r="AK546" i="1" a="1"/>
  <c r="AK546" i="1" s="1"/>
  <c r="AK547" i="1" a="1"/>
  <c r="AK547" i="1"/>
  <c r="AK548" i="1" a="1"/>
  <c r="AK548" i="1"/>
  <c r="AK549" i="1" a="1"/>
  <c r="AK549" i="1" s="1"/>
  <c r="AK550" i="1" a="1"/>
  <c r="AK550" i="1" s="1"/>
  <c r="AK551" i="1" a="1"/>
  <c r="AK551" i="1"/>
  <c r="AK552" i="1" a="1"/>
  <c r="AK552" i="1" s="1"/>
  <c r="AK553" i="1" a="1"/>
  <c r="AK553" i="1"/>
  <c r="AK554" i="1" a="1"/>
  <c r="AK554" i="1"/>
  <c r="AK555" i="1" a="1"/>
  <c r="AK555" i="1"/>
  <c r="AK556" i="1" a="1"/>
  <c r="AK556" i="1" s="1"/>
  <c r="AK557" i="1" a="1"/>
  <c r="AK557" i="1"/>
  <c r="AK558" i="1" a="1"/>
  <c r="AK558" i="1" s="1"/>
  <c r="AK559" i="1" a="1"/>
  <c r="AK559" i="1"/>
  <c r="AK560" i="1" a="1"/>
  <c r="AK560" i="1" s="1"/>
  <c r="AK561" i="1" a="1"/>
  <c r="AK561" i="1"/>
  <c r="AK562" i="1" a="1"/>
  <c r="AK562" i="1" s="1"/>
  <c r="AK563" i="1" a="1"/>
  <c r="AK563" i="1" s="1"/>
  <c r="AK564" i="1" a="1"/>
  <c r="AK564" i="1" s="1"/>
  <c r="AK565" i="1" a="1"/>
  <c r="AK565" i="1" s="1"/>
  <c r="AK566" i="1" a="1"/>
  <c r="AK566" i="1"/>
  <c r="AK567" i="1" a="1"/>
  <c r="AK567" i="1" s="1"/>
  <c r="AK568" i="1" a="1"/>
  <c r="AK568" i="1" s="1"/>
  <c r="AK569" i="1" a="1"/>
  <c r="AK569" i="1"/>
  <c r="AK570" i="1" a="1"/>
  <c r="AK570" i="1" s="1"/>
  <c r="AK571" i="1" a="1"/>
  <c r="AK571" i="1" s="1"/>
  <c r="AK572" i="1" a="1"/>
  <c r="AK572" i="1" s="1"/>
  <c r="AK573" i="1" a="1"/>
  <c r="AK573" i="1"/>
  <c r="AK574" i="1" a="1"/>
  <c r="AK574" i="1" s="1"/>
  <c r="AK575" i="1" a="1"/>
  <c r="AK575" i="1"/>
  <c r="AK576" i="1" a="1"/>
  <c r="AK576" i="1" s="1"/>
  <c r="AK577" i="1" a="1"/>
  <c r="AK577" i="1"/>
  <c r="AK578" i="1" a="1"/>
  <c r="AK578" i="1" s="1"/>
  <c r="AK579" i="1" a="1"/>
  <c r="AK579" i="1" s="1"/>
  <c r="AK580" i="1" a="1"/>
  <c r="AK580" i="1" s="1"/>
  <c r="AK581" i="1" a="1"/>
  <c r="AK581" i="1" s="1"/>
  <c r="AK582" i="1" a="1"/>
  <c r="AK582" i="1" s="1"/>
  <c r="AK583" i="1" a="1"/>
  <c r="AK583" i="1"/>
  <c r="AK584" i="1" a="1"/>
  <c r="AK584" i="1"/>
  <c r="AK585" i="1" a="1"/>
  <c r="AK585" i="1" s="1"/>
  <c r="AK586" i="1" a="1"/>
  <c r="AK586" i="1" s="1"/>
  <c r="AK587" i="1" a="1"/>
  <c r="AK587" i="1"/>
  <c r="AK588" i="1" a="1"/>
  <c r="AK588" i="1" s="1"/>
  <c r="AK589" i="1" a="1"/>
  <c r="AK589" i="1" s="1"/>
  <c r="AK590" i="1" a="1"/>
  <c r="AK590" i="1"/>
  <c r="AK591" i="1" a="1"/>
  <c r="AK591" i="1"/>
  <c r="AK592" i="1" a="1"/>
  <c r="AK592" i="1" s="1"/>
  <c r="AK593" i="1" a="1"/>
  <c r="AK593" i="1"/>
  <c r="AK594" i="1" a="1"/>
  <c r="AK594" i="1" s="1"/>
  <c r="AK595" i="1" a="1"/>
  <c r="AK595" i="1"/>
  <c r="AK596" i="1" a="1"/>
  <c r="AK596" i="1" s="1"/>
  <c r="AK597" i="1" a="1"/>
  <c r="AK597" i="1"/>
  <c r="AK598" i="1" a="1"/>
  <c r="AK598" i="1" s="1"/>
  <c r="AK599" i="1" a="1"/>
  <c r="AK599" i="1" s="1"/>
  <c r="AK600" i="1" a="1"/>
  <c r="AK600" i="1" s="1"/>
  <c r="AK601" i="1" a="1"/>
  <c r="AK601" i="1" s="1"/>
  <c r="AK602" i="1" a="1"/>
  <c r="AK602" i="1"/>
  <c r="AK603" i="1" a="1"/>
  <c r="AK603" i="1" s="1"/>
  <c r="AK604" i="1" a="1"/>
  <c r="AK604" i="1" s="1"/>
  <c r="AK605" i="1" a="1"/>
  <c r="AK605" i="1"/>
  <c r="AK606" i="1" a="1"/>
  <c r="AK606" i="1" s="1"/>
  <c r="AK607" i="1" a="1"/>
  <c r="AK607" i="1" s="1"/>
  <c r="AK608" i="1" a="1"/>
  <c r="AK608" i="1" s="1"/>
  <c r="AK609" i="1" a="1"/>
  <c r="AK609" i="1"/>
  <c r="AK610" i="1" a="1"/>
  <c r="AK610" i="1" s="1"/>
  <c r="AK611" i="1" a="1"/>
  <c r="AK611" i="1"/>
  <c r="AK612" i="1" a="1"/>
  <c r="AK612" i="1" s="1"/>
  <c r="AK613" i="1" a="1"/>
  <c r="AK613" i="1"/>
  <c r="AK614" i="1" a="1"/>
  <c r="AK614" i="1" s="1"/>
  <c r="AK615" i="1" a="1"/>
  <c r="AK615" i="1" s="1"/>
  <c r="AK616" i="1" a="1"/>
  <c r="AK616" i="1" s="1"/>
  <c r="AK617" i="1" a="1"/>
  <c r="AK617" i="1"/>
  <c r="AK618" i="1" a="1"/>
  <c r="AK618" i="1" s="1"/>
  <c r="AK619" i="1" a="1"/>
  <c r="AK619" i="1"/>
  <c r="AK620" i="1" a="1"/>
  <c r="AK620" i="1"/>
  <c r="AK621" i="1" a="1"/>
  <c r="AK621" i="1" s="1"/>
  <c r="AK622" i="1" a="1"/>
  <c r="AK622" i="1" s="1"/>
  <c r="AK623" i="1" a="1"/>
  <c r="AK623" i="1"/>
  <c r="AK624" i="1" a="1"/>
  <c r="AK624" i="1" s="1"/>
  <c r="AK625" i="1" a="1"/>
  <c r="AK625" i="1" s="1"/>
  <c r="AK626" i="1" a="1"/>
  <c r="AK626" i="1"/>
  <c r="AK627" i="1" a="1"/>
  <c r="AK627" i="1"/>
  <c r="AK628" i="1" a="1"/>
  <c r="AK628" i="1" s="1"/>
  <c r="AK629" i="1" a="1"/>
  <c r="AK629" i="1"/>
  <c r="AK630" i="1" a="1"/>
  <c r="AK630" i="1" s="1"/>
  <c r="AK631" i="1" a="1"/>
  <c r="AK631" i="1"/>
  <c r="AK632" i="1" a="1"/>
  <c r="AK632" i="1" s="1"/>
  <c r="AK633" i="1" a="1"/>
  <c r="AK633" i="1"/>
  <c r="AK634" i="1" a="1"/>
  <c r="AK634" i="1" s="1"/>
  <c r="AK635" i="1" a="1"/>
  <c r="AK635" i="1" s="1"/>
  <c r="AK636" i="1" a="1"/>
  <c r="AK636" i="1" s="1"/>
  <c r="AK637" i="1" a="1"/>
  <c r="AK637" i="1" s="1"/>
  <c r="AK638" i="1" a="1"/>
  <c r="AK638" i="1"/>
  <c r="AK639" i="1" a="1"/>
  <c r="AK639" i="1" s="1"/>
  <c r="AK640" i="1" a="1"/>
  <c r="AK640" i="1" s="1"/>
  <c r="AK641" i="1" a="1"/>
  <c r="AK641" i="1"/>
  <c r="AK642" i="1" a="1"/>
  <c r="AK642" i="1" s="1"/>
  <c r="AK643" i="1" a="1"/>
  <c r="AK643" i="1" s="1"/>
  <c r="AK644" i="1" a="1"/>
  <c r="AK644" i="1" s="1"/>
  <c r="AK645" i="1" a="1"/>
  <c r="AK645" i="1" s="1"/>
  <c r="AK646" i="1" a="1"/>
  <c r="AK646" i="1" s="1"/>
  <c r="AK647" i="1" a="1"/>
  <c r="AK647" i="1"/>
  <c r="AK648" i="1" a="1"/>
  <c r="AK648" i="1" s="1"/>
  <c r="AK649" i="1" a="1"/>
  <c r="AK649" i="1"/>
  <c r="AK650" i="1" a="1"/>
  <c r="AK650" i="1" s="1"/>
  <c r="AK651" i="1" a="1"/>
  <c r="AK651" i="1" s="1"/>
  <c r="AK652" i="1" a="1"/>
  <c r="AK652" i="1" s="1"/>
  <c r="AK653" i="1" a="1"/>
  <c r="AK653" i="1"/>
  <c r="AK654" i="1" a="1"/>
  <c r="AK654" i="1" s="1"/>
  <c r="AK655" i="1" a="1"/>
  <c r="AK655" i="1"/>
  <c r="AK656" i="1" a="1"/>
  <c r="AK656" i="1"/>
  <c r="AK657" i="1" a="1"/>
  <c r="AK657" i="1" s="1"/>
  <c r="AK658" i="1" a="1"/>
  <c r="AK658" i="1" s="1"/>
  <c r="AK659" i="1" a="1"/>
  <c r="AK659" i="1"/>
  <c r="AK660" i="1" a="1"/>
  <c r="AK660" i="1" s="1"/>
  <c r="AK661" i="1" a="1"/>
  <c r="AK661" i="1" s="1"/>
  <c r="AK662" i="1" a="1"/>
  <c r="AK662" i="1"/>
  <c r="AK663" i="1" a="1"/>
  <c r="AK663" i="1"/>
  <c r="AK664" i="1" a="1"/>
  <c r="AK664" i="1" s="1"/>
  <c r="AK665" i="1" a="1"/>
  <c r="AK665" i="1"/>
  <c r="AK666" i="1" a="1"/>
  <c r="AK666" i="1" s="1"/>
  <c r="AK667" i="1" a="1"/>
  <c r="AK667" i="1" s="1"/>
  <c r="AK668" i="1" a="1"/>
  <c r="AK668" i="1" s="1"/>
  <c r="AK669" i="1" a="1"/>
  <c r="AK669" i="1"/>
  <c r="AK670" i="1" a="1"/>
  <c r="AK670" i="1" s="1"/>
  <c r="AK671" i="1" a="1"/>
  <c r="AK671" i="1" s="1"/>
  <c r="AK672" i="1" a="1"/>
  <c r="AK672" i="1" s="1"/>
  <c r="AK673" i="1" a="1"/>
  <c r="AK673" i="1" s="1"/>
  <c r="AK674" i="1" a="1"/>
  <c r="AK674" i="1"/>
  <c r="AK675" i="1" a="1"/>
  <c r="AK675" i="1" s="1"/>
  <c r="AK676" i="1" a="1"/>
  <c r="AK676" i="1" s="1"/>
  <c r="AK677" i="1" a="1"/>
  <c r="AK677" i="1"/>
  <c r="AK678" i="1" a="1"/>
  <c r="AK678" i="1" s="1"/>
  <c r="AK679" i="1" a="1"/>
  <c r="AK679" i="1" s="1"/>
  <c r="AK680" i="1" a="1"/>
  <c r="AK680" i="1" s="1"/>
  <c r="AK681" i="1" a="1"/>
  <c r="AK681" i="1" s="1"/>
  <c r="AK682" i="1" a="1"/>
  <c r="AK682" i="1" s="1"/>
  <c r="AK683" i="1" a="1"/>
  <c r="AK683" i="1"/>
  <c r="AK684" i="1" a="1"/>
  <c r="AK684" i="1" s="1"/>
  <c r="AK685" i="1" a="1"/>
  <c r="AK685" i="1"/>
  <c r="AK686" i="1" a="1"/>
  <c r="AK686" i="1" s="1"/>
  <c r="AK687" i="1" a="1"/>
  <c r="AK687" i="1" s="1"/>
  <c r="AK688" i="1" a="1"/>
  <c r="AK688" i="1" s="1"/>
  <c r="AK689" i="1" a="1"/>
  <c r="AK689" i="1"/>
  <c r="AK690" i="1" a="1"/>
  <c r="AK690" i="1" s="1"/>
  <c r="AK691" i="1" a="1"/>
  <c r="AK691" i="1"/>
  <c r="AK692" i="1" a="1"/>
  <c r="AK692" i="1"/>
  <c r="AK693" i="1" a="1"/>
  <c r="AK693" i="1" s="1"/>
  <c r="AK694" i="1" a="1"/>
  <c r="AK694" i="1" s="1"/>
  <c r="AK695" i="1" a="1"/>
  <c r="AK695" i="1"/>
  <c r="AK696" i="1" a="1"/>
  <c r="AK696" i="1" s="1"/>
  <c r="AK697" i="1" a="1"/>
  <c r="AK697" i="1" s="1"/>
  <c r="AK698" i="1" a="1"/>
  <c r="AK698" i="1"/>
  <c r="AK699" i="1" a="1"/>
  <c r="AK699" i="1"/>
  <c r="AK700" i="1" a="1"/>
  <c r="AK700" i="1" s="1"/>
  <c r="AK701" i="1" a="1"/>
  <c r="AK701" i="1"/>
  <c r="AK702" i="1" a="1"/>
  <c r="AK702" i="1" s="1"/>
  <c r="AK703" i="1" a="1"/>
  <c r="AK703" i="1"/>
  <c r="AK704" i="1" a="1"/>
  <c r="AK704" i="1" s="1"/>
  <c r="AK705" i="1" a="1"/>
  <c r="AK705" i="1"/>
  <c r="AK706" i="1" a="1"/>
  <c r="AK706" i="1" s="1"/>
  <c r="AK707" i="1" a="1"/>
  <c r="AK707" i="1" s="1"/>
  <c r="AK708" i="1" a="1"/>
  <c r="AK708" i="1" s="1"/>
  <c r="AK709" i="1" a="1"/>
  <c r="AK709" i="1" s="1"/>
  <c r="AK710" i="1" a="1"/>
  <c r="AK710" i="1"/>
  <c r="AK711" i="1" a="1"/>
  <c r="AK711" i="1" s="1"/>
  <c r="AK712" i="1" a="1"/>
  <c r="AK712" i="1" s="1"/>
  <c r="AK713" i="1" a="1"/>
  <c r="AK713" i="1"/>
  <c r="AK714" i="1" a="1"/>
  <c r="AK714" i="1" s="1"/>
  <c r="AK715" i="1" a="1"/>
  <c r="AK715" i="1" s="1"/>
  <c r="AK716" i="1" a="1"/>
  <c r="AK716" i="1" s="1"/>
  <c r="AK717" i="1" a="1"/>
  <c r="AK717" i="1"/>
  <c r="AK718" i="1" a="1"/>
  <c r="AK718" i="1" s="1"/>
  <c r="AK719" i="1" a="1"/>
  <c r="AK719" i="1"/>
  <c r="AK720" i="1" a="1"/>
  <c r="AK720" i="1" s="1"/>
  <c r="AK721" i="1" a="1"/>
  <c r="AK721" i="1"/>
  <c r="AK722" i="1" a="1"/>
  <c r="AK722" i="1" s="1"/>
  <c r="AK723" i="1" a="1"/>
  <c r="AK723" i="1" s="1"/>
  <c r="AK724" i="1" a="1"/>
  <c r="AK724" i="1" s="1"/>
  <c r="AK725" i="1" a="1"/>
  <c r="AK725" i="1"/>
  <c r="AK726" i="1" a="1"/>
  <c r="AK726" i="1" s="1"/>
  <c r="AK727" i="1" a="1"/>
  <c r="AK727" i="1"/>
  <c r="AK728" i="1" a="1"/>
  <c r="AK728" i="1"/>
  <c r="AK729" i="1" a="1"/>
  <c r="AK729" i="1" s="1"/>
  <c r="AK730" i="1" a="1"/>
  <c r="AK730" i="1" s="1"/>
  <c r="AK731" i="1" a="1"/>
  <c r="AK731" i="1"/>
  <c r="AK732" i="1" a="1"/>
  <c r="AK732" i="1" s="1"/>
  <c r="AK733" i="1" a="1"/>
  <c r="AK733" i="1" s="1"/>
  <c r="AK734" i="1" a="1"/>
  <c r="AK734" i="1"/>
  <c r="AK735" i="1" a="1"/>
  <c r="AK735" i="1"/>
  <c r="AK736" i="1" a="1"/>
  <c r="AK736" i="1" s="1"/>
  <c r="AK737" i="1" a="1"/>
  <c r="AK737" i="1"/>
  <c r="AK738" i="1" a="1"/>
  <c r="AK738" i="1" s="1"/>
  <c r="AK739" i="1" a="1"/>
  <c r="AK739" i="1"/>
  <c r="AK740" i="1" a="1"/>
  <c r="AK740" i="1" s="1"/>
  <c r="AK741" i="1" a="1"/>
  <c r="AK741" i="1"/>
  <c r="AK742" i="1" a="1"/>
  <c r="AK742" i="1" s="1"/>
  <c r="AK743" i="1" a="1"/>
  <c r="AK743" i="1" s="1"/>
  <c r="AK744" i="1" a="1"/>
  <c r="AK744" i="1" s="1"/>
  <c r="AK745" i="1" a="1"/>
  <c r="AK745" i="1" s="1"/>
  <c r="AK746" i="1" a="1"/>
  <c r="AK746" i="1"/>
  <c r="AK747" i="1" a="1"/>
  <c r="AK747" i="1" s="1"/>
  <c r="AK748" i="1" a="1"/>
  <c r="AK748" i="1" s="1"/>
  <c r="AK749" i="1" a="1"/>
  <c r="AK749" i="1"/>
  <c r="AK750" i="1" a="1"/>
  <c r="AK750" i="1" s="1"/>
  <c r="AK751" i="1" a="1"/>
  <c r="AK751" i="1" s="1"/>
  <c r="AK752" i="1" a="1"/>
  <c r="AK752" i="1" s="1"/>
  <c r="AK753" i="1" a="1"/>
  <c r="AK753" i="1"/>
  <c r="AK754" i="1" a="1"/>
  <c r="AK754" i="1" s="1"/>
  <c r="AK755" i="1" a="1"/>
  <c r="AK755" i="1"/>
  <c r="AK756" i="1" a="1"/>
  <c r="AK756" i="1" s="1"/>
  <c r="AK757" i="1" a="1"/>
  <c r="AK757" i="1"/>
  <c r="AK758" i="1" a="1"/>
  <c r="AK758" i="1" s="1"/>
  <c r="AK759" i="1" a="1"/>
  <c r="AK759" i="1" s="1"/>
  <c r="AK760" i="1" a="1"/>
  <c r="AK760" i="1" s="1"/>
  <c r="AK761" i="1" a="1"/>
  <c r="AK761" i="1"/>
  <c r="AK762" i="1" a="1"/>
  <c r="AK762" i="1" s="1"/>
  <c r="AK763" i="1" a="1"/>
  <c r="AK763" i="1"/>
  <c r="AK764" i="1" a="1"/>
  <c r="AK764" i="1"/>
  <c r="AK765" i="1" a="1"/>
  <c r="AK765" i="1" s="1"/>
  <c r="AK766" i="1" a="1"/>
  <c r="AK766" i="1" s="1"/>
  <c r="AK767" i="1" a="1"/>
  <c r="AK767" i="1"/>
  <c r="AK768" i="1" a="1"/>
  <c r="AK768" i="1" s="1"/>
  <c r="AK769" i="1" a="1"/>
  <c r="AK769" i="1" s="1"/>
  <c r="AK770" i="1" a="1"/>
  <c r="AK770" i="1"/>
  <c r="AK771" i="1" a="1"/>
  <c r="AK771" i="1"/>
  <c r="AK772" i="1" a="1"/>
  <c r="AK772" i="1" s="1"/>
  <c r="AK773" i="1" a="1"/>
  <c r="AK773" i="1"/>
  <c r="AK774" i="1" a="1"/>
  <c r="AK774" i="1" s="1"/>
  <c r="AK775" i="1" a="1"/>
  <c r="AK775" i="1"/>
  <c r="AK776" i="1" a="1"/>
  <c r="AK776" i="1" s="1"/>
  <c r="AK777" i="1" a="1"/>
  <c r="AK777" i="1"/>
  <c r="AK778" i="1" a="1"/>
  <c r="AK778" i="1" s="1"/>
  <c r="AK779" i="1" a="1"/>
  <c r="AK779" i="1" s="1"/>
  <c r="AK780" i="1" a="1"/>
  <c r="AK780" i="1" s="1"/>
  <c r="AK781" i="1" a="1"/>
  <c r="AK781" i="1" s="1"/>
  <c r="AK782" i="1" a="1"/>
  <c r="AK782" i="1"/>
  <c r="AK783" i="1" a="1"/>
  <c r="AK783" i="1" s="1"/>
  <c r="AK784" i="1" a="1"/>
  <c r="AK784" i="1" s="1"/>
  <c r="AK785" i="1" a="1"/>
  <c r="AK785" i="1"/>
  <c r="AK786" i="1" a="1"/>
  <c r="AK786" i="1" s="1"/>
  <c r="AK787" i="1" a="1"/>
  <c r="AK787" i="1" s="1"/>
  <c r="AK788" i="1" a="1"/>
  <c r="AK788" i="1" s="1"/>
  <c r="AK789" i="1" a="1"/>
  <c r="AK789" i="1"/>
  <c r="AK790" i="1" a="1"/>
  <c r="AK790" i="1" s="1"/>
  <c r="AK791" i="1" a="1"/>
  <c r="AK791" i="1"/>
  <c r="AK792" i="1" a="1"/>
  <c r="AK792" i="1" s="1"/>
  <c r="AK793" i="1" a="1"/>
  <c r="AK793" i="1"/>
  <c r="AK794" i="1" a="1"/>
  <c r="AK794" i="1" s="1"/>
  <c r="AK795" i="1" a="1"/>
  <c r="AK795" i="1" s="1"/>
  <c r="AK796" i="1" a="1"/>
  <c r="AK796" i="1" s="1"/>
  <c r="AK797" i="1" a="1"/>
  <c r="AK797" i="1"/>
  <c r="AK798" i="1" a="1"/>
  <c r="AK798" i="1" s="1"/>
  <c r="AK799" i="1" a="1"/>
  <c r="AK799" i="1"/>
  <c r="AK800" i="1" a="1"/>
  <c r="AK800" i="1"/>
  <c r="AK801" i="1" a="1"/>
  <c r="AK801" i="1" s="1"/>
  <c r="AK802" i="1" a="1"/>
  <c r="AK802" i="1" s="1"/>
  <c r="AK803" i="1" a="1"/>
  <c r="AK803" i="1"/>
  <c r="AK804" i="1" a="1"/>
  <c r="AK804" i="1" s="1"/>
  <c r="AK805" i="1" a="1"/>
  <c r="AK805" i="1" s="1"/>
  <c r="AK806" i="1" a="1"/>
  <c r="AK806" i="1"/>
  <c r="AK807" i="1" a="1"/>
  <c r="AK807" i="1"/>
  <c r="AK808" i="1" a="1"/>
  <c r="AK808" i="1" s="1"/>
  <c r="AK809" i="1" a="1"/>
  <c r="AK809" i="1"/>
  <c r="AK810" i="1" a="1"/>
  <c r="AK810" i="1" s="1"/>
  <c r="AK811" i="1" a="1"/>
  <c r="AK811" i="1"/>
  <c r="AK812" i="1" a="1"/>
  <c r="AK812" i="1" s="1"/>
  <c r="AK813" i="1" a="1"/>
  <c r="AK813" i="1"/>
  <c r="AK814" i="1" a="1"/>
  <c r="AK814" i="1" s="1"/>
  <c r="AK815" i="1" a="1"/>
  <c r="AK815" i="1" s="1"/>
  <c r="AK816" i="1" a="1"/>
  <c r="AK816" i="1" s="1"/>
  <c r="AK817" i="1" a="1"/>
  <c r="AK817" i="1" s="1"/>
  <c r="AK818" i="1" a="1"/>
  <c r="AK818" i="1"/>
  <c r="AK819" i="1" a="1"/>
  <c r="AK819" i="1" s="1"/>
  <c r="AK820" i="1" a="1"/>
  <c r="AK820" i="1" s="1"/>
  <c r="AK821" i="1" a="1"/>
  <c r="AK821" i="1"/>
  <c r="AK822" i="1" a="1"/>
  <c r="AK822" i="1" s="1"/>
  <c r="AK823" i="1" a="1"/>
  <c r="AK823" i="1" s="1"/>
  <c r="AK824" i="1" a="1"/>
  <c r="AK824" i="1" s="1"/>
  <c r="AK825" i="1" a="1"/>
  <c r="AK825" i="1"/>
  <c r="AK826" i="1" a="1"/>
  <c r="AK826" i="1" s="1"/>
  <c r="AK827" i="1" a="1"/>
  <c r="AK827" i="1"/>
  <c r="AK828" i="1" a="1"/>
  <c r="AK828" i="1" s="1"/>
  <c r="AK829" i="1" a="1"/>
  <c r="AK829" i="1"/>
  <c r="AK830" i="1" a="1"/>
  <c r="AK830" i="1" s="1"/>
  <c r="AK831" i="1" a="1"/>
  <c r="AK831" i="1" s="1"/>
  <c r="AK832" i="1" a="1"/>
  <c r="AK832" i="1" s="1"/>
  <c r="AK833" i="1" a="1"/>
  <c r="AK833" i="1"/>
  <c r="AK834" i="1" a="1"/>
  <c r="AK834" i="1" s="1"/>
  <c r="AK835" i="1" a="1"/>
  <c r="AK835" i="1"/>
  <c r="AK836" i="1" a="1"/>
  <c r="AK836" i="1"/>
  <c r="AK837" i="1" a="1"/>
  <c r="AK837" i="1" s="1"/>
  <c r="AK838" i="1" a="1"/>
  <c r="AK838" i="1" s="1"/>
  <c r="AK839" i="1" a="1"/>
  <c r="AK839" i="1"/>
  <c r="AK840" i="1" a="1"/>
  <c r="AK840" i="1" s="1"/>
  <c r="AK841" i="1" a="1"/>
  <c r="AK841" i="1" s="1"/>
  <c r="AK842" i="1" a="1"/>
  <c r="AK842" i="1"/>
  <c r="AK843" i="1" a="1"/>
  <c r="AK843" i="1"/>
  <c r="AK844" i="1" a="1"/>
  <c r="AK844" i="1" s="1"/>
  <c r="AK845" i="1" a="1"/>
  <c r="AK845" i="1"/>
  <c r="AK846" i="1" a="1"/>
  <c r="AK846" i="1" s="1"/>
  <c r="AK847" i="1" a="1"/>
  <c r="AK847" i="1"/>
  <c r="AK848" i="1" a="1"/>
  <c r="AK848" i="1" s="1"/>
  <c r="AK849" i="1" a="1"/>
  <c r="AK849" i="1"/>
  <c r="AK850" i="1" a="1"/>
  <c r="AK850" i="1" s="1"/>
  <c r="AK851" i="1" a="1"/>
  <c r="AK851" i="1" s="1"/>
  <c r="AK852" i="1" a="1"/>
  <c r="AK852" i="1" s="1"/>
  <c r="AK853" i="1" a="1"/>
  <c r="AK853" i="1" s="1"/>
  <c r="AK854" i="1" a="1"/>
  <c r="AK854" i="1"/>
  <c r="AK855" i="1" a="1"/>
  <c r="AK855" i="1" s="1"/>
  <c r="AK856" i="1" a="1"/>
  <c r="AK856" i="1" s="1"/>
  <c r="AK857" i="1" a="1"/>
  <c r="AK857" i="1"/>
  <c r="AK858" i="1" a="1"/>
  <c r="AK858" i="1" s="1"/>
  <c r="AK859" i="1" a="1"/>
  <c r="AK859" i="1" s="1"/>
  <c r="AK860" i="1" a="1"/>
  <c r="AK860" i="1" s="1"/>
  <c r="AK861" i="1" a="1"/>
  <c r="AK861" i="1"/>
  <c r="AK862" i="1" a="1"/>
  <c r="AK862" i="1" s="1"/>
  <c r="AK863" i="1" a="1"/>
  <c r="AK863" i="1"/>
  <c r="AK864" i="1" a="1"/>
  <c r="AK864" i="1" s="1"/>
  <c r="AK865" i="1" a="1"/>
  <c r="AK865" i="1"/>
  <c r="AK866" i="1" a="1"/>
  <c r="AK866" i="1" s="1"/>
  <c r="AK867" i="1" a="1"/>
  <c r="AK867" i="1" s="1"/>
  <c r="AK868" i="1" a="1"/>
  <c r="AK868" i="1" s="1"/>
  <c r="AK869" i="1" a="1"/>
  <c r="AK869" i="1"/>
  <c r="AK870" i="1" a="1"/>
  <c r="AK870" i="1" s="1"/>
  <c r="AK871" i="1" a="1"/>
  <c r="AK871" i="1"/>
  <c r="AK872" i="1" a="1"/>
  <c r="AK872" i="1"/>
  <c r="AK873" i="1" a="1"/>
  <c r="AK873" i="1" s="1"/>
  <c r="AK874" i="1" a="1"/>
  <c r="AK874" i="1" s="1"/>
  <c r="AK875" i="1" a="1"/>
  <c r="AK875" i="1"/>
  <c r="AK876" i="1" a="1"/>
  <c r="AK876" i="1" s="1"/>
  <c r="AK877" i="1" a="1"/>
  <c r="AK877" i="1" s="1"/>
  <c r="AK878" i="1" a="1"/>
  <c r="AK878" i="1"/>
  <c r="AK879" i="1" a="1"/>
  <c r="AK879" i="1"/>
  <c r="AK880" i="1" a="1"/>
  <c r="AK880" i="1" s="1"/>
  <c r="AK881" i="1" a="1"/>
  <c r="AK881" i="1"/>
  <c r="AK882" i="1" a="1"/>
  <c r="AK882" i="1" s="1"/>
  <c r="AK883" i="1" a="1"/>
  <c r="AK883" i="1"/>
  <c r="AK884" i="1" a="1"/>
  <c r="AK884" i="1" s="1"/>
  <c r="AK885" i="1" a="1"/>
  <c r="AK885" i="1"/>
  <c r="AK886" i="1" a="1"/>
  <c r="AK886" i="1" s="1"/>
  <c r="AK887" i="1" a="1"/>
  <c r="AK887" i="1" s="1"/>
  <c r="AK888" i="1" a="1"/>
  <c r="AK888" i="1" s="1"/>
  <c r="AK889" i="1" a="1"/>
  <c r="AK889" i="1" s="1"/>
  <c r="AK890" i="1" a="1"/>
  <c r="AK890" i="1"/>
  <c r="AK891" i="1" a="1"/>
  <c r="AK891" i="1" s="1"/>
  <c r="AK892" i="1" a="1"/>
  <c r="AK892" i="1" s="1"/>
  <c r="AK893" i="1" a="1"/>
  <c r="AK893" i="1"/>
  <c r="AK894" i="1" a="1"/>
  <c r="AK894" i="1" s="1"/>
  <c r="AK895" i="1" a="1"/>
  <c r="AK895" i="1" s="1"/>
  <c r="AK896" i="1" a="1"/>
  <c r="AK896" i="1" s="1"/>
  <c r="AK897" i="1" a="1"/>
  <c r="AK897" i="1"/>
  <c r="AK898" i="1" a="1"/>
  <c r="AK898" i="1" s="1"/>
  <c r="AK899" i="1" a="1"/>
  <c r="AK899" i="1"/>
  <c r="AK900" i="1" a="1"/>
  <c r="AK900" i="1" s="1"/>
  <c r="AK901" i="1" a="1"/>
  <c r="AK901" i="1"/>
  <c r="AK902" i="1" a="1"/>
  <c r="AK902" i="1" s="1"/>
  <c r="AK903" i="1" a="1"/>
  <c r="AK903" i="1" s="1"/>
  <c r="AK904" i="1" a="1"/>
  <c r="AK904" i="1" s="1"/>
  <c r="AK905" i="1" a="1"/>
  <c r="AK905" i="1"/>
  <c r="AK906" i="1" a="1"/>
  <c r="AK906" i="1" s="1"/>
  <c r="AK907" i="1" a="1"/>
  <c r="AK907" i="1"/>
  <c r="AK908" i="1" a="1"/>
  <c r="AK908" i="1"/>
  <c r="AK909" i="1" a="1"/>
  <c r="AK909" i="1" s="1"/>
  <c r="AK910" i="1" a="1"/>
  <c r="AK910" i="1" s="1"/>
  <c r="AK911" i="1" a="1"/>
  <c r="AK911" i="1"/>
  <c r="AK912" i="1" a="1"/>
  <c r="AK912" i="1" s="1"/>
  <c r="AK913" i="1" a="1"/>
  <c r="AK913" i="1" s="1"/>
  <c r="AK914" i="1" a="1"/>
  <c r="AK914" i="1"/>
  <c r="AK915" i="1" a="1"/>
  <c r="AK915" i="1"/>
  <c r="AK916" i="1" a="1"/>
  <c r="AK916" i="1" s="1"/>
  <c r="AK917" i="1" a="1"/>
  <c r="AK917" i="1"/>
  <c r="AK918" i="1" a="1"/>
  <c r="AK918" i="1" s="1"/>
  <c r="AK919" i="1" a="1"/>
  <c r="AK919" i="1"/>
  <c r="AK920" i="1" a="1"/>
  <c r="AK920" i="1" s="1"/>
  <c r="AK921" i="1" a="1"/>
  <c r="AK921" i="1"/>
  <c r="AK922" i="1" a="1"/>
  <c r="AK922" i="1" s="1"/>
  <c r="AK923" i="1" a="1"/>
  <c r="AK923" i="1" s="1"/>
  <c r="AK924" i="1" a="1"/>
  <c r="AK924" i="1" s="1"/>
  <c r="AK925" i="1" a="1"/>
  <c r="AK925" i="1" s="1"/>
  <c r="AK926" i="1" a="1"/>
  <c r="AK926" i="1"/>
  <c r="AK927" i="1" a="1"/>
  <c r="AK927" i="1" s="1"/>
  <c r="AK928" i="1" a="1"/>
  <c r="AK928" i="1" s="1"/>
  <c r="AK929" i="1" a="1"/>
  <c r="AK929" i="1"/>
  <c r="AK930" i="1" a="1"/>
  <c r="AK930" i="1" s="1"/>
  <c r="AK931" i="1" a="1"/>
  <c r="AK931" i="1" s="1"/>
  <c r="AK932" i="1" a="1"/>
  <c r="AK932" i="1" s="1"/>
  <c r="AK933" i="1" a="1"/>
  <c r="AK933" i="1"/>
  <c r="AK934" i="1" a="1"/>
  <c r="AK934" i="1" s="1"/>
  <c r="AK935" i="1" a="1"/>
  <c r="AK935" i="1"/>
  <c r="AK936" i="1" a="1"/>
  <c r="AK936" i="1" s="1"/>
  <c r="AK937" i="1" a="1"/>
  <c r="AK937" i="1"/>
  <c r="AK938" i="1" a="1"/>
  <c r="AK938" i="1" s="1"/>
  <c r="AK939" i="1" a="1"/>
  <c r="AK939" i="1" s="1"/>
  <c r="AK940" i="1" a="1"/>
  <c r="AK940" i="1" s="1"/>
  <c r="AK941" i="1" a="1"/>
  <c r="AK941" i="1"/>
  <c r="AK942" i="1" a="1"/>
  <c r="AK942" i="1" s="1"/>
  <c r="AK943" i="1" a="1"/>
  <c r="AK943" i="1"/>
  <c r="AK944" i="1" a="1"/>
  <c r="AK944" i="1"/>
  <c r="AK945" i="1" a="1"/>
  <c r="AK945" i="1" s="1"/>
  <c r="AK946" i="1" a="1"/>
  <c r="AK946" i="1" s="1"/>
  <c r="AK947" i="1" a="1"/>
  <c r="AK947" i="1"/>
  <c r="AK948" i="1" a="1"/>
  <c r="AK948" i="1" s="1"/>
  <c r="AK949" i="1" a="1"/>
  <c r="AK949" i="1" s="1"/>
  <c r="AK950" i="1" a="1"/>
  <c r="AK950" i="1"/>
  <c r="AK951" i="1" a="1"/>
  <c r="AK951" i="1"/>
  <c r="AK952" i="1" a="1"/>
  <c r="AK952" i="1" s="1"/>
  <c r="AK953" i="1" a="1"/>
  <c r="AK953" i="1"/>
  <c r="AK954" i="1" a="1"/>
  <c r="AK954" i="1" s="1"/>
  <c r="AK955" i="1" a="1"/>
  <c r="AK955" i="1"/>
  <c r="AK956" i="1" a="1"/>
  <c r="AK956" i="1" s="1"/>
  <c r="AK957" i="1" a="1"/>
  <c r="AK957" i="1"/>
  <c r="AK958" i="1" a="1"/>
  <c r="AK958" i="1" s="1"/>
  <c r="AK959" i="1" a="1"/>
  <c r="AK959" i="1" s="1"/>
  <c r="AK960" i="1" a="1"/>
  <c r="AK960" i="1" s="1"/>
  <c r="AK961" i="1" a="1"/>
  <c r="AK961" i="1" s="1"/>
  <c r="AK962" i="1" a="1"/>
  <c r="AK962" i="1"/>
  <c r="AK963" i="1" a="1"/>
  <c r="AK963" i="1" s="1"/>
  <c r="AK964" i="1" a="1"/>
  <c r="AK964" i="1" s="1"/>
  <c r="AK965" i="1" a="1"/>
  <c r="AK965" i="1"/>
  <c r="AK966" i="1" a="1"/>
  <c r="AK966" i="1" s="1"/>
  <c r="AK967" i="1" a="1"/>
  <c r="AK967" i="1" s="1"/>
  <c r="AK968" i="1" a="1"/>
  <c r="AK968" i="1" s="1"/>
  <c r="AK969" i="1" a="1"/>
  <c r="AK969" i="1"/>
  <c r="AK970" i="1" a="1"/>
  <c r="AK970" i="1" s="1"/>
  <c r="AK971" i="1" a="1"/>
  <c r="AK971" i="1"/>
  <c r="AK972" i="1" a="1"/>
  <c r="AK972" i="1" s="1"/>
  <c r="AK973" i="1" a="1"/>
  <c r="AK973" i="1"/>
  <c r="AK974" i="1" a="1"/>
  <c r="AK974" i="1" s="1"/>
  <c r="AK975" i="1" a="1"/>
  <c r="AK975" i="1" s="1"/>
  <c r="AK976" i="1" a="1"/>
  <c r="AK976" i="1" s="1"/>
  <c r="AK977" i="1" a="1"/>
  <c r="AK977" i="1"/>
  <c r="AK978" i="1" a="1"/>
  <c r="AK978" i="1" s="1"/>
  <c r="AK979" i="1" a="1"/>
  <c r="AK979" i="1"/>
  <c r="AK980" i="1" a="1"/>
  <c r="AK980" i="1"/>
  <c r="AK981" i="1" a="1"/>
  <c r="AK981" i="1" s="1"/>
  <c r="AK982" i="1" a="1"/>
  <c r="AK982" i="1" s="1"/>
  <c r="AK983" i="1" a="1"/>
  <c r="AK983" i="1"/>
  <c r="AK984" i="1" a="1"/>
  <c r="AK984" i="1" s="1"/>
  <c r="AK985" i="1" a="1"/>
  <c r="AK985" i="1" s="1"/>
  <c r="AK986" i="1" a="1"/>
  <c r="AK986" i="1"/>
  <c r="AK987" i="1" a="1"/>
  <c r="AK987" i="1"/>
  <c r="AK988" i="1" a="1"/>
  <c r="AK988" i="1" s="1"/>
  <c r="AK989" i="1" a="1"/>
  <c r="AK989" i="1"/>
  <c r="AK990" i="1" a="1"/>
  <c r="AK990" i="1"/>
  <c r="AK991" i="1" a="1"/>
  <c r="AK991" i="1"/>
  <c r="AK992" i="1" a="1"/>
  <c r="AK992" i="1"/>
  <c r="AK993" i="1" a="1"/>
  <c r="AK993" i="1"/>
  <c r="AK994" i="1" a="1"/>
  <c r="AK994" i="1" s="1"/>
  <c r="AK995" i="1" a="1"/>
  <c r="AK995" i="1" s="1"/>
  <c r="AK996" i="1" a="1"/>
  <c r="AK996" i="1" s="1"/>
  <c r="AK997" i="1" a="1"/>
  <c r="AK997" i="1"/>
  <c r="AK998" i="1" a="1"/>
  <c r="AK998" i="1" s="1"/>
  <c r="AK999" i="1" a="1"/>
  <c r="AK999" i="1"/>
  <c r="AK1000" i="1" a="1"/>
  <c r="AK1000" i="1" s="1"/>
  <c r="AK1001" i="1" a="1"/>
  <c r="AK1001" i="1" s="1"/>
  <c r="AK1002" i="1" a="1"/>
  <c r="AK1002" i="1"/>
  <c r="AK1003" i="1" a="1"/>
  <c r="AK1003" i="1"/>
  <c r="AK1004" i="1" a="1"/>
  <c r="AK1004" i="1"/>
  <c r="AK1005" i="1" a="1"/>
  <c r="AK1005" i="1"/>
  <c r="AK1006" i="1" a="1"/>
  <c r="AK1006" i="1" s="1"/>
  <c r="AK1007" i="1" a="1"/>
  <c r="AK1007" i="1"/>
  <c r="AK1008" i="1" a="1"/>
  <c r="AK1008" i="1" s="1"/>
  <c r="AK1009" i="1" a="1"/>
  <c r="AK1009" i="1" s="1"/>
  <c r="AK1010" i="1" a="1"/>
  <c r="AK1010" i="1"/>
  <c r="AK1011" i="1" a="1"/>
  <c r="AK1011" i="1" s="1"/>
  <c r="AK1012" i="1" a="1"/>
  <c r="AK1012" i="1" s="1"/>
  <c r="AK1013" i="1" a="1"/>
  <c r="AK1013" i="1"/>
  <c r="AK1014" i="1" a="1"/>
  <c r="AK1014" i="1" s="1"/>
  <c r="AK1015" i="1" a="1"/>
  <c r="AK1015" i="1"/>
  <c r="AK1016" i="1" a="1"/>
  <c r="AK1016" i="1"/>
  <c r="AK1017" i="1" a="1"/>
  <c r="AK1017" i="1"/>
  <c r="AK1018" i="1" a="1"/>
  <c r="AK1018" i="1" s="1"/>
  <c r="AK1019" i="1" a="1"/>
  <c r="AK1019" i="1"/>
  <c r="AK1020" i="1" a="1"/>
  <c r="AK1020" i="1"/>
  <c r="AK1021" i="1" a="1"/>
  <c r="AK1021" i="1" s="1"/>
  <c r="AK1022" i="1" a="1"/>
  <c r="AK1022" i="1" s="1"/>
  <c r="AK1023" i="1" a="1"/>
  <c r="AK1023" i="1"/>
  <c r="AK1024" i="1" a="1"/>
  <c r="AK1024" i="1" s="1"/>
  <c r="AK1025" i="1" a="1"/>
  <c r="AK1025" i="1"/>
  <c r="AK1026" i="1" a="1"/>
  <c r="AK1026" i="1"/>
  <c r="AK1027" i="1" a="1"/>
  <c r="AK1027" i="1" s="1"/>
  <c r="AK1028" i="1" a="1"/>
  <c r="AK1028" i="1"/>
  <c r="AK1029" i="1" a="1"/>
  <c r="AK1029" i="1"/>
  <c r="AK1030" i="1" a="1"/>
  <c r="AK1030" i="1" s="1"/>
  <c r="AK1031" i="1" a="1"/>
  <c r="AK1031" i="1" s="1"/>
  <c r="AK1032" i="1" a="1"/>
  <c r="AK1032" i="1"/>
  <c r="AK1033" i="1" a="1"/>
  <c r="AK1033" i="1"/>
  <c r="AK1034" i="1" a="1"/>
  <c r="AK1034" i="1" s="1"/>
  <c r="AK1035" i="1" a="1"/>
  <c r="AK1035" i="1" s="1"/>
  <c r="AK1036" i="1" a="1"/>
  <c r="AK1036" i="1" s="1"/>
  <c r="AK1037" i="1" a="1"/>
  <c r="AK1037" i="1"/>
  <c r="AK1038" i="1" a="1"/>
  <c r="AK1038" i="1"/>
  <c r="AK1039" i="1" a="1"/>
  <c r="AK1039" i="1"/>
  <c r="AK1040" i="1" a="1"/>
  <c r="AK1040" i="1" s="1"/>
  <c r="AK1041" i="1" a="1"/>
  <c r="AK1041" i="1"/>
  <c r="AK1042" i="1" a="1"/>
  <c r="AK1042" i="1" s="1"/>
  <c r="AK1043" i="1" a="1"/>
  <c r="AK1043" i="1"/>
  <c r="AK1044" i="1" a="1"/>
  <c r="AK1044" i="1" s="1"/>
  <c r="AK1045" i="1" a="1"/>
  <c r="AK1045" i="1"/>
  <c r="AK1046" i="1" a="1"/>
  <c r="AK1046" i="1"/>
  <c r="AK1047" i="1" a="1"/>
  <c r="AK1047" i="1" s="1"/>
  <c r="AK1048" i="1" a="1"/>
  <c r="AK1048" i="1" s="1"/>
  <c r="AK1049" i="1" a="1"/>
  <c r="AK1049" i="1"/>
  <c r="AK1050" i="1" a="1"/>
  <c r="AK1050" i="1"/>
  <c r="AK1051" i="1" a="1"/>
  <c r="AK1051" i="1"/>
  <c r="AK1052" i="1" a="1"/>
  <c r="AK1052" i="1"/>
  <c r="AK1053" i="1" a="1"/>
  <c r="AK1053" i="1" s="1"/>
  <c r="AK1054" i="1" a="1"/>
  <c r="AK1054" i="1" s="1"/>
  <c r="AK1055" i="1" a="1"/>
  <c r="AK1055" i="1" s="1"/>
  <c r="AK1056" i="1" a="1"/>
  <c r="AK1056" i="1"/>
  <c r="AK1057" i="1" a="1"/>
  <c r="AK1057" i="1" s="1"/>
  <c r="AK1058" i="1" a="1"/>
  <c r="AK1058" i="1"/>
  <c r="AK1059" i="1" a="1"/>
  <c r="AK1059" i="1"/>
  <c r="AK1060" i="1" a="1"/>
  <c r="AK1060" i="1" s="1"/>
  <c r="AK1061" i="1" a="1"/>
  <c r="AK1061" i="1"/>
  <c r="AK1062" i="1" a="1"/>
  <c r="AK1062" i="1"/>
  <c r="AK1063" i="1" a="1"/>
  <c r="AK1063" i="1"/>
  <c r="AK1064" i="1" a="1"/>
  <c r="AK1064" i="1"/>
  <c r="AK1065" i="1" a="1"/>
  <c r="AK1065" i="1"/>
  <c r="AK1066" i="1" a="1"/>
  <c r="AK1066" i="1" s="1"/>
  <c r="AK1067" i="1" a="1"/>
  <c r="AK1067" i="1" s="1"/>
  <c r="AK1068" i="1" a="1"/>
  <c r="AK1068" i="1" s="1"/>
  <c r="AK1069" i="1" a="1"/>
  <c r="AK1069" i="1"/>
  <c r="AK1070" i="1" a="1"/>
  <c r="AK1070" i="1" s="1"/>
  <c r="AK1071" i="1" a="1"/>
  <c r="AK1071" i="1"/>
  <c r="AK1072" i="1" a="1"/>
  <c r="AK1072" i="1" s="1"/>
  <c r="AK1073" i="1" a="1"/>
  <c r="AK1073" i="1" s="1"/>
  <c r="AK1074" i="1" a="1"/>
  <c r="AK1074" i="1"/>
  <c r="AK1075" i="1" a="1"/>
  <c r="AK1075" i="1"/>
  <c r="AK1076" i="1" a="1"/>
  <c r="AK1076" i="1"/>
  <c r="AK1077" i="1" a="1"/>
  <c r="AK1077" i="1"/>
  <c r="AK1078" i="1" a="1"/>
  <c r="AK1078" i="1" s="1"/>
  <c r="AK1079" i="1" a="1"/>
  <c r="AK1079" i="1"/>
  <c r="AK1080" i="1" a="1"/>
  <c r="AK1080" i="1" s="1"/>
  <c r="AK1081" i="1" a="1"/>
  <c r="AK1081" i="1" s="1"/>
  <c r="AK1082" i="1" a="1"/>
  <c r="AK1082" i="1"/>
  <c r="AK1083" i="1" a="1"/>
  <c r="AK1083" i="1" s="1"/>
  <c r="AK1084" i="1" a="1"/>
  <c r="AK1084" i="1" s="1"/>
  <c r="AK1085" i="1" a="1"/>
  <c r="AK1085" i="1"/>
  <c r="AK1086" i="1" a="1"/>
  <c r="AK1086" i="1" s="1"/>
  <c r="AK1087" i="1" a="1"/>
  <c r="AK1087" i="1"/>
  <c r="AK1088" i="1" a="1"/>
  <c r="AK1088" i="1"/>
  <c r="AK1089" i="1" a="1"/>
  <c r="AK1089" i="1"/>
  <c r="AK1090" i="1" a="1"/>
  <c r="AK1090" i="1" s="1"/>
  <c r="AK1091" i="1" a="1"/>
  <c r="AK1091" i="1"/>
  <c r="AK1092" i="1" a="1"/>
  <c r="AK1092" i="1"/>
  <c r="AK1093" i="1" a="1"/>
  <c r="AK1093" i="1" s="1"/>
  <c r="AK1094" i="1" a="1"/>
  <c r="AK1094" i="1" s="1"/>
  <c r="AK1095" i="1" a="1"/>
  <c r="AK1095" i="1"/>
  <c r="AK1096" i="1" a="1"/>
  <c r="AK1096" i="1" s="1"/>
  <c r="AK1097" i="1" a="1"/>
  <c r="AK1097" i="1"/>
  <c r="AK1098" i="1" a="1"/>
  <c r="AK1098" i="1"/>
  <c r="AK1099" i="1" a="1"/>
  <c r="AK1099" i="1" s="1"/>
  <c r="AK1100" i="1" a="1"/>
  <c r="AK1100" i="1"/>
  <c r="AK1101" i="1" a="1"/>
  <c r="AK1101" i="1"/>
  <c r="AK1102" i="1" a="1"/>
  <c r="AK1102" i="1" s="1"/>
  <c r="AK1103" i="1" a="1"/>
  <c r="AK1103" i="1" s="1"/>
  <c r="AK1104" i="1" a="1"/>
  <c r="AK1104" i="1"/>
  <c r="AK1105" i="1" a="1"/>
  <c r="AK1105" i="1"/>
  <c r="AK1106" i="1" a="1"/>
  <c r="AK1106" i="1" s="1"/>
  <c r="AK1107" i="1" a="1"/>
  <c r="AK1107" i="1" s="1"/>
  <c r="AK1108" i="1" a="1"/>
  <c r="AK1108" i="1" s="1"/>
  <c r="AK1109" i="1" a="1"/>
  <c r="AK1109" i="1"/>
  <c r="AK1110" i="1" a="1"/>
  <c r="AK1110" i="1"/>
  <c r="AK1111" i="1" a="1"/>
  <c r="AK1111" i="1"/>
  <c r="AK1112" i="1" a="1"/>
  <c r="AK1112" i="1" s="1"/>
  <c r="AK1113" i="1" a="1"/>
  <c r="AK1113" i="1"/>
  <c r="AK1114" i="1" a="1"/>
  <c r="AK1114" i="1" s="1"/>
  <c r="AK1115" i="1" a="1"/>
  <c r="AK1115" i="1"/>
  <c r="AK1116" i="1" a="1"/>
  <c r="AK1116" i="1" s="1"/>
  <c r="AK1117" i="1" a="1"/>
  <c r="AK1117" i="1"/>
  <c r="AK1118" i="1" a="1"/>
  <c r="AK1118" i="1"/>
  <c r="AK1119" i="1" a="1"/>
  <c r="AK1119" i="1" s="1"/>
  <c r="AK1120" i="1" a="1"/>
  <c r="AK1120" i="1" s="1"/>
  <c r="AK1121" i="1" a="1"/>
  <c r="AK1121" i="1"/>
  <c r="AK1122" i="1" a="1"/>
  <c r="AK1122" i="1"/>
  <c r="AK1123" i="1" a="1"/>
  <c r="AK1123" i="1"/>
  <c r="AK1124" i="1" a="1"/>
  <c r="AK1124" i="1"/>
  <c r="AK1125" i="1" a="1"/>
  <c r="AK1125" i="1" s="1"/>
  <c r="AK1126" i="1" a="1"/>
  <c r="AK1126" i="1" s="1"/>
  <c r="AK1127" i="1" a="1"/>
  <c r="AK1127" i="1" s="1"/>
  <c r="AK1128" i="1" a="1"/>
  <c r="AK1128" i="1"/>
  <c r="AK1129" i="1" a="1"/>
  <c r="AK1129" i="1" s="1"/>
  <c r="AK1130" i="1" a="1"/>
  <c r="AK1130" i="1"/>
  <c r="AK1131" i="1" a="1"/>
  <c r="AK1131" i="1"/>
  <c r="AK1132" i="1" a="1"/>
  <c r="AK1132" i="1" s="1"/>
  <c r="AK1133" i="1" a="1"/>
  <c r="AK1133" i="1"/>
  <c r="AK1134" i="1" a="1"/>
  <c r="AK1134" i="1"/>
  <c r="AK1135" i="1" a="1"/>
  <c r="AK1135" i="1"/>
  <c r="AK1136" i="1" a="1"/>
  <c r="AK1136" i="1"/>
  <c r="AK1137" i="1" a="1"/>
  <c r="AK1137" i="1"/>
  <c r="AK1138" i="1" a="1"/>
  <c r="AK1138" i="1" s="1"/>
  <c r="AK1139" i="1" a="1"/>
  <c r="AK1139" i="1" s="1"/>
  <c r="AK1140" i="1" a="1"/>
  <c r="AK1140" i="1" s="1"/>
  <c r="AK1141" i="1" a="1"/>
  <c r="AK1141" i="1"/>
  <c r="AK1142" i="1" a="1"/>
  <c r="AK1142" i="1" s="1"/>
  <c r="AK1143" i="1" a="1"/>
  <c r="AK1143" i="1"/>
  <c r="AK1144" i="1" a="1"/>
  <c r="AK1144" i="1" s="1"/>
  <c r="AK1145" i="1" a="1"/>
  <c r="AK1145" i="1" s="1"/>
  <c r="AK1146" i="1" a="1"/>
  <c r="AK1146" i="1"/>
  <c r="AK1147" i="1" a="1"/>
  <c r="AK1147" i="1"/>
  <c r="AK1148" i="1" a="1"/>
  <c r="AK1148" i="1"/>
  <c r="AK1149" i="1" a="1"/>
  <c r="AK1149" i="1"/>
  <c r="AK1150" i="1" a="1"/>
  <c r="AK1150" i="1" s="1"/>
  <c r="AK1151" i="1" a="1"/>
  <c r="AK1151" i="1"/>
  <c r="AK1152" i="1" a="1"/>
  <c r="AK1152" i="1" s="1"/>
  <c r="AK1153" i="1" a="1"/>
  <c r="AK1153" i="1" s="1"/>
  <c r="AK1154" i="1" a="1"/>
  <c r="AK1154" i="1"/>
  <c r="AK1155" i="1" a="1"/>
  <c r="AK1155" i="1" s="1"/>
  <c r="AK1156" i="1" a="1"/>
  <c r="AK1156" i="1" s="1"/>
  <c r="AK1157" i="1" a="1"/>
  <c r="AK1157" i="1"/>
  <c r="AK1158" i="1" a="1"/>
  <c r="AK1158" i="1" s="1"/>
  <c r="AK1159" i="1" a="1"/>
  <c r="AK1159" i="1"/>
  <c r="AK1160" i="1" a="1"/>
  <c r="AK1160" i="1"/>
  <c r="AK1161" i="1" a="1"/>
  <c r="AK1161" i="1"/>
  <c r="AK1162" i="1" a="1"/>
  <c r="AK1162" i="1" s="1"/>
  <c r="AK1163" i="1" a="1"/>
  <c r="AK1163" i="1"/>
  <c r="AK1164" i="1" a="1"/>
  <c r="AK1164" i="1"/>
  <c r="AK1165" i="1" a="1"/>
  <c r="AK1165" i="1" s="1"/>
  <c r="AK1166" i="1" a="1"/>
  <c r="AK1166" i="1" s="1"/>
  <c r="AK1167" i="1" a="1"/>
  <c r="AK1167" i="1"/>
  <c r="AK1168" i="1" a="1"/>
  <c r="AK1168" i="1" s="1"/>
  <c r="AK1169" i="1" a="1"/>
  <c r="AK1169" i="1"/>
  <c r="AK1170" i="1" a="1"/>
  <c r="AK1170" i="1"/>
  <c r="AK1171" i="1" a="1"/>
  <c r="AK1171" i="1" s="1"/>
  <c r="AK1172" i="1" a="1"/>
  <c r="AK1172" i="1"/>
  <c r="AK1173" i="1" a="1"/>
  <c r="AK1173" i="1"/>
  <c r="AK1174" i="1" a="1"/>
  <c r="AK1174" i="1" s="1"/>
  <c r="AK1175" i="1" a="1"/>
  <c r="AK1175" i="1" s="1"/>
  <c r="AK1176" i="1" a="1"/>
  <c r="AK1176" i="1"/>
  <c r="AK1177" i="1" a="1"/>
  <c r="AK1177" i="1"/>
  <c r="AK1178" i="1" a="1"/>
  <c r="AK1178" i="1" s="1"/>
  <c r="AK1179" i="1" a="1"/>
  <c r="AK1179" i="1" s="1"/>
  <c r="AK1180" i="1" a="1"/>
  <c r="AK1180" i="1" s="1"/>
  <c r="AK1181" i="1" a="1"/>
  <c r="AK1181" i="1"/>
  <c r="AK1182" i="1" a="1"/>
  <c r="AK1182" i="1"/>
  <c r="AK1183" i="1" a="1"/>
  <c r="AK1183" i="1"/>
  <c r="AK1184" i="1" a="1"/>
  <c r="AK1184" i="1" s="1"/>
  <c r="AK1185" i="1" a="1"/>
  <c r="AK1185" i="1"/>
  <c r="AK1186" i="1" a="1"/>
  <c r="AK1186" i="1" s="1"/>
  <c r="AK1187" i="1" a="1"/>
  <c r="AK1187" i="1"/>
  <c r="AK1188" i="1" a="1"/>
  <c r="AK1188" i="1" s="1"/>
  <c r="AK1189" i="1" a="1"/>
  <c r="AK1189" i="1"/>
  <c r="AK1190" i="1" a="1"/>
  <c r="AK1190" i="1"/>
  <c r="AK1191" i="1" a="1"/>
  <c r="AK1191" i="1" s="1"/>
  <c r="AK1192" i="1" a="1"/>
  <c r="AK1192" i="1" s="1"/>
  <c r="AK1193" i="1" a="1"/>
  <c r="AK1193" i="1"/>
  <c r="AK1194" i="1" a="1"/>
  <c r="AK1194" i="1"/>
  <c r="AK1195" i="1" a="1"/>
  <c r="AK1195" i="1"/>
  <c r="AK1196" i="1" a="1"/>
  <c r="AK1196" i="1"/>
  <c r="AK1197" i="1" a="1"/>
  <c r="AK1197" i="1" s="1"/>
  <c r="AK1198" i="1" a="1"/>
  <c r="AK1198" i="1" s="1"/>
  <c r="AK1199" i="1" a="1"/>
  <c r="AK1199" i="1" s="1"/>
  <c r="AK1200" i="1" a="1"/>
  <c r="AK1200" i="1"/>
  <c r="AK1201" i="1" a="1"/>
  <c r="AK1201" i="1" s="1"/>
  <c r="AK1202" i="1" a="1"/>
  <c r="AK1202" i="1"/>
  <c r="AK1203" i="1" a="1"/>
  <c r="AK1203" i="1"/>
  <c r="AK1204" i="1" a="1"/>
  <c r="AK1204" i="1" s="1"/>
  <c r="AK1205" i="1" a="1"/>
  <c r="AK1205" i="1"/>
  <c r="AK1206" i="1" a="1"/>
  <c r="AK1206" i="1"/>
  <c r="AK1207" i="1" a="1"/>
  <c r="AK1207" i="1"/>
  <c r="AK1208" i="1" a="1"/>
  <c r="AK1208" i="1"/>
  <c r="AK1209" i="1" a="1"/>
  <c r="AK1209" i="1"/>
  <c r="AK1210" i="1" a="1"/>
  <c r="AK1210" i="1" s="1"/>
  <c r="AK1211" i="1" a="1"/>
  <c r="AK1211" i="1" s="1"/>
  <c r="AK1212" i="1" a="1"/>
  <c r="AK1212" i="1" s="1"/>
  <c r="AK1213" i="1" a="1"/>
  <c r="AK1213" i="1"/>
  <c r="AK1214" i="1" a="1"/>
  <c r="AK1214" i="1" s="1"/>
  <c r="AK1215" i="1" a="1"/>
  <c r="AK1215" i="1"/>
  <c r="AK1216" i="1" a="1"/>
  <c r="AK1216" i="1" s="1"/>
  <c r="AK1217" i="1" a="1"/>
  <c r="AK1217" i="1" s="1"/>
  <c r="AK1218" i="1" a="1"/>
  <c r="AK1218" i="1"/>
  <c r="AK1219" i="1" a="1"/>
  <c r="AK1219" i="1"/>
  <c r="AK1220" i="1" a="1"/>
  <c r="AK1220" i="1"/>
  <c r="AK1221" i="1" a="1"/>
  <c r="AK1221" i="1"/>
  <c r="AK1222" i="1" a="1"/>
  <c r="AK1222" i="1" s="1"/>
  <c r="AK1223" i="1" a="1"/>
  <c r="AK1223" i="1"/>
  <c r="AK1224" i="1" a="1"/>
  <c r="AK1224" i="1" s="1"/>
  <c r="AK1225" i="1" a="1"/>
  <c r="AK1225" i="1" s="1"/>
  <c r="AK1226" i="1" a="1"/>
  <c r="AK1226" i="1"/>
  <c r="AK1227" i="1" a="1"/>
  <c r="AK1227" i="1" s="1"/>
  <c r="AK1228" i="1" a="1"/>
  <c r="AK1228" i="1" s="1"/>
  <c r="AK1229" i="1" a="1"/>
  <c r="AK1229" i="1"/>
  <c r="AK1230" i="1" a="1"/>
  <c r="AK1230" i="1" s="1"/>
  <c r="AK1231" i="1" a="1"/>
  <c r="AK1231" i="1"/>
  <c r="AK1232" i="1" a="1"/>
  <c r="AK1232" i="1"/>
  <c r="AK1233" i="1" a="1"/>
  <c r="AK1233" i="1"/>
  <c r="AK1234" i="1" a="1"/>
  <c r="AK1234" i="1" s="1"/>
  <c r="AK1235" i="1" a="1"/>
  <c r="AK1235" i="1"/>
  <c r="AK1236" i="1" a="1"/>
  <c r="AK1236" i="1"/>
  <c r="AK1237" i="1" a="1"/>
  <c r="AK1237" i="1" s="1"/>
  <c r="AK1238" i="1" a="1"/>
  <c r="AK1238" i="1" s="1"/>
  <c r="AK1239" i="1" a="1"/>
  <c r="AK1239" i="1"/>
  <c r="AK1240" i="1" a="1"/>
  <c r="AK1240" i="1" s="1"/>
  <c r="AK1241" i="1" a="1"/>
  <c r="AK1241" i="1"/>
  <c r="AK1242" i="1" a="1"/>
  <c r="AK1242" i="1"/>
  <c r="AK1243" i="1" a="1"/>
  <c r="AK1243" i="1" s="1"/>
  <c r="AK1244" i="1" a="1"/>
  <c r="AK1244" i="1"/>
  <c r="AK1245" i="1" a="1"/>
  <c r="AK1245" i="1"/>
  <c r="AK1246" i="1" a="1"/>
  <c r="AK1246" i="1" s="1"/>
  <c r="AK1247" i="1" a="1"/>
  <c r="AK1247" i="1" s="1"/>
  <c r="AK1248" i="1" a="1"/>
  <c r="AK1248" i="1"/>
  <c r="AK1249" i="1" a="1"/>
  <c r="AK1249" i="1"/>
  <c r="AK1250" i="1" a="1"/>
  <c r="AK1250" i="1" s="1"/>
  <c r="AK1251" i="1" a="1"/>
  <c r="AK1251" i="1" s="1"/>
  <c r="AK1252" i="1" a="1"/>
  <c r="AK1252" i="1" s="1"/>
  <c r="AK1253" i="1" a="1"/>
  <c r="AK1253" i="1"/>
  <c r="AK1254" i="1" a="1"/>
  <c r="AK1254" i="1"/>
  <c r="AK1255" i="1" a="1"/>
  <c r="AK1255" i="1"/>
  <c r="AK1256" i="1" a="1"/>
  <c r="AK1256" i="1" s="1"/>
  <c r="AK1257" i="1" a="1"/>
  <c r="AK1257" i="1"/>
  <c r="AK1258" i="1" a="1"/>
  <c r="AK1258" i="1" s="1"/>
  <c r="AK1259" i="1" a="1"/>
  <c r="AK1259" i="1"/>
  <c r="AK1260" i="1" a="1"/>
  <c r="AK1260" i="1" s="1"/>
  <c r="AK1261" i="1" a="1"/>
  <c r="AK1261" i="1"/>
  <c r="AK1262" i="1" a="1"/>
  <c r="AK1262" i="1"/>
  <c r="AK1263" i="1" a="1"/>
  <c r="AK1263" i="1" s="1"/>
  <c r="AK1264" i="1" a="1"/>
  <c r="AK1264" i="1" s="1"/>
  <c r="AK1265" i="1" a="1"/>
  <c r="AK1265" i="1"/>
  <c r="AK1266" i="1" a="1"/>
  <c r="AK1266" i="1"/>
  <c r="AK1267" i="1" a="1"/>
  <c r="AK1267" i="1"/>
  <c r="AK1268" i="1" a="1"/>
  <c r="AK1268" i="1"/>
  <c r="AK1269" i="1" a="1"/>
  <c r="AK1269" i="1" s="1"/>
  <c r="AK1270" i="1" a="1"/>
  <c r="AK1270" i="1" s="1"/>
  <c r="AK1271" i="1" a="1"/>
  <c r="AK1271" i="1" s="1"/>
  <c r="AK1272" i="1" a="1"/>
  <c r="AK1272" i="1"/>
  <c r="AK1273" i="1" a="1"/>
  <c r="AK1273" i="1" s="1"/>
  <c r="AK1274" i="1" a="1"/>
  <c r="AK1274" i="1"/>
  <c r="AK1275" i="1" a="1"/>
  <c r="AK1275" i="1"/>
  <c r="AK1276" i="1" a="1"/>
  <c r="AK1276" i="1" s="1"/>
  <c r="AK1277" i="1" a="1"/>
  <c r="AK1277" i="1"/>
  <c r="AK1278" i="1" a="1"/>
  <c r="AK1278" i="1"/>
  <c r="AK1279" i="1" a="1"/>
  <c r="AK1279" i="1"/>
  <c r="AK1280" i="1" a="1"/>
  <c r="AK1280" i="1"/>
  <c r="AK1281" i="1" a="1"/>
  <c r="AK1281" i="1"/>
  <c r="AK1282" i="1" a="1"/>
  <c r="AK1282" i="1" s="1"/>
  <c r="AK1283" i="1" a="1"/>
  <c r="AK1283" i="1"/>
  <c r="AK1284" i="1" a="1"/>
  <c r="AK1284" i="1"/>
  <c r="AK1285" i="1" a="1"/>
  <c r="AK1285" i="1"/>
  <c r="AK1286" i="1" a="1"/>
  <c r="AK1286" i="1"/>
  <c r="AK1287" i="1" a="1"/>
  <c r="AK1287" i="1"/>
  <c r="AK1288" i="1" a="1"/>
  <c r="AK1288" i="1" s="1"/>
  <c r="AK1289" i="1" a="1"/>
  <c r="AK1289" i="1"/>
  <c r="AK1290" i="1" a="1"/>
  <c r="AK1290" i="1"/>
  <c r="AK1291" i="1" a="1"/>
  <c r="AK1291" i="1"/>
  <c r="AK1292" i="1" a="1"/>
  <c r="AK1292" i="1"/>
  <c r="AK1293" i="1" a="1"/>
  <c r="AK1293" i="1"/>
  <c r="AK1294" i="1" a="1"/>
  <c r="AK1294" i="1" s="1"/>
  <c r="AK1295" i="1" a="1"/>
  <c r="AK1295" i="1"/>
  <c r="AK1296" i="1" a="1"/>
  <c r="AK1296" i="1"/>
  <c r="AK1297" i="1" a="1"/>
  <c r="AK1297" i="1"/>
  <c r="AK1298" i="1" a="1"/>
  <c r="AK1298" i="1"/>
  <c r="AK1299" i="1" a="1"/>
  <c r="AK1299" i="1"/>
  <c r="AK1300" i="1" a="1"/>
  <c r="AK1300" i="1" s="1"/>
  <c r="AK1301" i="1" a="1"/>
  <c r="AK1301" i="1"/>
  <c r="AK1302" i="1" a="1"/>
  <c r="AK1302" i="1"/>
  <c r="AK1303" i="1" a="1"/>
  <c r="AK1303" i="1"/>
  <c r="AK1304" i="1" a="1"/>
  <c r="AK1304" i="1"/>
  <c r="AK1305" i="1" a="1"/>
  <c r="AK1305" i="1"/>
  <c r="AK1306" i="1" a="1"/>
  <c r="AK1306" i="1" s="1"/>
  <c r="AK1307" i="1" a="1"/>
  <c r="AK1307" i="1"/>
  <c r="AK1308" i="1" a="1"/>
  <c r="AK1308" i="1"/>
  <c r="AK1309" i="1" a="1"/>
  <c r="AK1309" i="1"/>
  <c r="AK1310" i="1" a="1"/>
  <c r="AK1310" i="1"/>
  <c r="AK1311" i="1" a="1"/>
  <c r="AK1311" i="1"/>
  <c r="AK1312" i="1" a="1"/>
  <c r="AK1312" i="1" s="1"/>
  <c r="AK1313" i="1" a="1"/>
  <c r="AK1313" i="1"/>
  <c r="AK1314" i="1" a="1"/>
  <c r="AK1314" i="1"/>
  <c r="AK1315" i="1" a="1"/>
  <c r="AK1315" i="1"/>
  <c r="AK1316" i="1" a="1"/>
  <c r="AK1316" i="1"/>
  <c r="AK1317" i="1" a="1"/>
  <c r="AK1317" i="1"/>
  <c r="AK1318" i="1" a="1"/>
  <c r="AK1318" i="1" s="1"/>
  <c r="AK1319" i="1" a="1"/>
  <c r="AK1319" i="1"/>
  <c r="AK1320" i="1" a="1"/>
  <c r="AK1320" i="1"/>
  <c r="AK1321" i="1" a="1"/>
  <c r="AK1321" i="1"/>
  <c r="AK1322" i="1" a="1"/>
  <c r="AK1322" i="1"/>
  <c r="AK1323" i="1" a="1"/>
  <c r="AK1323" i="1"/>
  <c r="AK1324" i="1" a="1"/>
  <c r="AK1324" i="1" s="1"/>
  <c r="AK1325" i="1" a="1"/>
  <c r="AK1325" i="1"/>
  <c r="AK1326" i="1" a="1"/>
  <c r="AK1326" i="1"/>
  <c r="AK1327" i="1" a="1"/>
  <c r="AK1327" i="1"/>
  <c r="AK1328" i="1" a="1"/>
  <c r="AK1328" i="1"/>
  <c r="AK1329" i="1" a="1"/>
  <c r="AK1329" i="1"/>
  <c r="AK1330" i="1" a="1"/>
  <c r="AK1330" i="1" s="1"/>
  <c r="AK1331" i="1" a="1"/>
  <c r="AK1331" i="1"/>
  <c r="AK1332" i="1" a="1"/>
  <c r="AK1332" i="1"/>
  <c r="AK1333" i="1" a="1"/>
  <c r="AK1333" i="1"/>
  <c r="AK1334" i="1" a="1"/>
  <c r="AK1334" i="1"/>
  <c r="AK1335" i="1" a="1"/>
  <c r="AK1335" i="1"/>
  <c r="AK1336" i="1" a="1"/>
  <c r="AK1336" i="1" s="1"/>
  <c r="AK1337" i="1" a="1"/>
  <c r="AK1337" i="1"/>
  <c r="AK1338" i="1" a="1"/>
  <c r="AK1338" i="1"/>
  <c r="AK1339" i="1" a="1"/>
  <c r="AK1339" i="1"/>
  <c r="AK1340" i="1" a="1"/>
  <c r="AK1340" i="1"/>
  <c r="AK1341" i="1" a="1"/>
  <c r="AK1341" i="1"/>
  <c r="AK1342" i="1" a="1"/>
  <c r="AK1342" i="1" s="1"/>
  <c r="AK1343" i="1" a="1"/>
  <c r="AK1343" i="1"/>
  <c r="AK1344" i="1" a="1"/>
  <c r="AK1344" i="1"/>
  <c r="AK1345" i="1" a="1"/>
  <c r="AK1345" i="1"/>
  <c r="AK1346" i="1" a="1"/>
  <c r="AK1346" i="1"/>
  <c r="AK1347" i="1" a="1"/>
  <c r="AK1347" i="1"/>
  <c r="AK1348" i="1" a="1"/>
  <c r="AK1348" i="1" s="1"/>
  <c r="AK1349" i="1" a="1"/>
  <c r="AK1349" i="1"/>
  <c r="AK1350" i="1" a="1"/>
  <c r="AK1350" i="1"/>
  <c r="AK1351" i="1" a="1"/>
  <c r="AK1351" i="1"/>
  <c r="AK1352" i="1" a="1"/>
  <c r="AK1352" i="1"/>
  <c r="AK1353" i="1" a="1"/>
  <c r="AK1353" i="1"/>
  <c r="AK1354" i="1" a="1"/>
  <c r="AK1354" i="1" s="1"/>
  <c r="AK1355" i="1" a="1"/>
  <c r="AK1355" i="1"/>
  <c r="AK1356" i="1" a="1"/>
  <c r="AK1356" i="1"/>
  <c r="AK1357" i="1" a="1"/>
  <c r="AK1357" i="1"/>
  <c r="AK1358" i="1" a="1"/>
  <c r="AK1358" i="1"/>
  <c r="AK1359" i="1" a="1"/>
  <c r="AK1359" i="1"/>
  <c r="AK1360" i="1" a="1"/>
  <c r="AK1360" i="1" s="1"/>
  <c r="AK1361" i="1" a="1"/>
  <c r="AK1361" i="1"/>
  <c r="AK1362" i="1" a="1"/>
  <c r="AK1362" i="1"/>
  <c r="AK1363" i="1" a="1"/>
  <c r="AK1363" i="1"/>
  <c r="AK1364" i="1" a="1"/>
  <c r="AK1364" i="1"/>
  <c r="AK1365" i="1" a="1"/>
  <c r="AK1365" i="1"/>
  <c r="AK1366" i="1" a="1"/>
  <c r="AK1366" i="1" s="1"/>
  <c r="AK1367" i="1" a="1"/>
  <c r="AK1367" i="1"/>
  <c r="AK1368" i="1" a="1"/>
  <c r="AK1368" i="1"/>
  <c r="AK1369" i="1" a="1"/>
  <c r="AK1369" i="1"/>
  <c r="AK1370" i="1" a="1"/>
  <c r="AK1370" i="1"/>
  <c r="AK1371" i="1" a="1"/>
  <c r="AK1371" i="1"/>
  <c r="AK1372" i="1" a="1"/>
  <c r="AK1372" i="1" s="1"/>
  <c r="AK1373" i="1" a="1"/>
  <c r="AK1373" i="1"/>
  <c r="AK1374" i="1" a="1"/>
  <c r="AK1374" i="1"/>
  <c r="AK1375" i="1" a="1"/>
  <c r="AK1375" i="1"/>
  <c r="AK1376" i="1" a="1"/>
  <c r="AK1376" i="1" s="1"/>
  <c r="AK1377" i="1" a="1"/>
  <c r="AK1377" i="1"/>
  <c r="AK1378" i="1" a="1"/>
  <c r="AK1378" i="1" s="1"/>
  <c r="AK1379" i="1" a="1"/>
  <c r="AK1379" i="1"/>
  <c r="AK1380" i="1" a="1"/>
  <c r="AK1380" i="1"/>
  <c r="AK1381" i="1" a="1"/>
  <c r="AK1381" i="1"/>
  <c r="AK1382" i="1" a="1"/>
  <c r="AK1382" i="1" s="1"/>
  <c r="AK1383" i="1" a="1"/>
  <c r="AK1383" i="1"/>
  <c r="AK1384" i="1" a="1"/>
  <c r="AK1384" i="1" s="1"/>
  <c r="AK1385" i="1" a="1"/>
  <c r="AK1385" i="1"/>
  <c r="AK1386" i="1" a="1"/>
  <c r="AK1386" i="1"/>
  <c r="AK1387" i="1" a="1"/>
  <c r="AK1387" i="1"/>
  <c r="AK1388" i="1" a="1"/>
  <c r="AK1388" i="1" s="1"/>
  <c r="AK1389" i="1" a="1"/>
  <c r="AK1389" i="1"/>
  <c r="AK1390" i="1" a="1"/>
  <c r="AK1390" i="1" s="1"/>
  <c r="AK1391" i="1" a="1"/>
  <c r="AK1391" i="1"/>
  <c r="AK1392" i="1" a="1"/>
  <c r="AK1392" i="1"/>
  <c r="AK1393" i="1" a="1"/>
  <c r="AK1393" i="1"/>
  <c r="AK1394" i="1" a="1"/>
  <c r="AK1394" i="1" s="1"/>
  <c r="AK1395" i="1" a="1"/>
  <c r="AK1395" i="1"/>
  <c r="AK1396" i="1" a="1"/>
  <c r="AK1396" i="1" s="1"/>
  <c r="AK1397" i="1" a="1"/>
  <c r="AK1397" i="1"/>
  <c r="AK1398" i="1" a="1"/>
  <c r="AK1398" i="1"/>
  <c r="AK1399" i="1" a="1"/>
  <c r="AK1399" i="1"/>
  <c r="AK1400" i="1" a="1"/>
  <c r="AK1400" i="1" s="1"/>
  <c r="AK1401" i="1" a="1"/>
  <c r="AK1401" i="1"/>
  <c r="AK1402" i="1" a="1"/>
  <c r="AK1402" i="1" s="1"/>
  <c r="AK1403" i="1" a="1"/>
  <c r="AK1403" i="1"/>
  <c r="AK1404" i="1" a="1"/>
  <c r="AK1404" i="1"/>
  <c r="AK1405" i="1" a="1"/>
  <c r="AK1405" i="1"/>
  <c r="AK1406" i="1" a="1"/>
  <c r="AK1406" i="1" s="1"/>
  <c r="AK1407" i="1" a="1"/>
  <c r="AK1407" i="1"/>
  <c r="AK1408" i="1" a="1"/>
  <c r="AK1408" i="1" s="1"/>
  <c r="AK1409" i="1" a="1"/>
  <c r="AK1409" i="1"/>
  <c r="AK1410" i="1" a="1"/>
  <c r="AK1410" i="1"/>
  <c r="AK1411" i="1" a="1"/>
  <c r="AK1411" i="1"/>
  <c r="AK1412" i="1" a="1"/>
  <c r="AK1412" i="1" s="1"/>
  <c r="AK1413" i="1" a="1"/>
  <c r="AK1413" i="1"/>
  <c r="AK1414" i="1" a="1"/>
  <c r="AK1414" i="1" s="1"/>
  <c r="AK1415" i="1" a="1"/>
  <c r="AK1415" i="1"/>
  <c r="AK1416" i="1" a="1"/>
  <c r="AK1416" i="1"/>
  <c r="AK1417" i="1" a="1"/>
  <c r="AK1417" i="1"/>
  <c r="AK1418" i="1" a="1"/>
  <c r="AK1418" i="1" s="1"/>
  <c r="AK1419" i="1" a="1"/>
  <c r="AK1419" i="1"/>
  <c r="AK1420" i="1" a="1"/>
  <c r="AK1420" i="1" s="1"/>
  <c r="AK1421" i="1" a="1"/>
  <c r="AK1421" i="1"/>
  <c r="AK1422" i="1" a="1"/>
  <c r="AK1422" i="1"/>
  <c r="AK1423" i="1" a="1"/>
  <c r="AK1423" i="1"/>
  <c r="AK1424" i="1" a="1"/>
  <c r="AK1424" i="1" s="1"/>
  <c r="AK1425" i="1" a="1"/>
  <c r="AK1425" i="1"/>
  <c r="AK1426" i="1" a="1"/>
  <c r="AK1426" i="1" s="1"/>
  <c r="AK1427" i="1" a="1"/>
  <c r="AK1427" i="1"/>
  <c r="AK1428" i="1" a="1"/>
  <c r="AK1428" i="1"/>
  <c r="AK1429" i="1" a="1"/>
  <c r="AK1429" i="1"/>
  <c r="AK1430" i="1" a="1"/>
  <c r="AK1430" i="1" s="1"/>
  <c r="AK1431" i="1" a="1"/>
  <c r="AK1431" i="1"/>
  <c r="AK1432" i="1" a="1"/>
  <c r="AK1432" i="1" s="1"/>
  <c r="AK1433" i="1" a="1"/>
  <c r="AK1433" i="1"/>
  <c r="AK1434" i="1" a="1"/>
  <c r="AK1434" i="1"/>
  <c r="AK1435" i="1" a="1"/>
  <c r="AK1435" i="1"/>
  <c r="AK1436" i="1" a="1"/>
  <c r="AK1436" i="1" s="1"/>
  <c r="AK1437" i="1" a="1"/>
  <c r="AK1437" i="1"/>
  <c r="AK1438" i="1" a="1"/>
  <c r="AK1438" i="1" s="1"/>
  <c r="AK1439" i="1" a="1"/>
  <c r="AK1439" i="1"/>
  <c r="AK1440" i="1" a="1"/>
  <c r="AK1440" i="1"/>
  <c r="AK1441" i="1" a="1"/>
  <c r="AK1441" i="1"/>
  <c r="AK1442" i="1" a="1"/>
  <c r="AK1442" i="1" s="1"/>
  <c r="AK1443" i="1" a="1"/>
  <c r="AK1443" i="1"/>
  <c r="AK1444" i="1" a="1"/>
  <c r="AK1444" i="1" s="1"/>
  <c r="AK1445" i="1" a="1"/>
  <c r="AK1445" i="1" s="1"/>
  <c r="AK1446" i="1" a="1"/>
  <c r="AK1446" i="1"/>
  <c r="AK1447" i="1" a="1"/>
  <c r="AK1447" i="1"/>
  <c r="AK1448" i="1" a="1"/>
  <c r="AK1448" i="1" s="1"/>
  <c r="AK1449" i="1" a="1"/>
  <c r="AK1449" i="1"/>
  <c r="AK1450" i="1" a="1"/>
  <c r="AK1450" i="1" s="1"/>
  <c r="AK1451" i="1" a="1"/>
  <c r="AK1451" i="1" s="1"/>
  <c r="AK1452" i="1" a="1"/>
  <c r="AK1452" i="1"/>
  <c r="AK1453" i="1" a="1"/>
  <c r="AK1453" i="1"/>
  <c r="AK1454" i="1" a="1"/>
  <c r="AK1454" i="1" s="1"/>
  <c r="AK1455" i="1" a="1"/>
  <c r="AK1455" i="1"/>
  <c r="AK1456" i="1" a="1"/>
  <c r="AK1456" i="1" s="1"/>
  <c r="AK1457" i="1" a="1"/>
  <c r="AK1457" i="1" s="1"/>
  <c r="AK1458" i="1" a="1"/>
  <c r="AK1458" i="1"/>
  <c r="AK1459" i="1" a="1"/>
  <c r="AK1459" i="1"/>
  <c r="AK1460" i="1" a="1"/>
  <c r="AK1460" i="1" s="1"/>
  <c r="AK1461" i="1" a="1"/>
  <c r="AK1461" i="1"/>
  <c r="AK1462" i="1" a="1"/>
  <c r="AK1462" i="1" s="1"/>
  <c r="AK1463" i="1" a="1"/>
  <c r="AK1463" i="1" s="1"/>
  <c r="AK1464" i="1" a="1"/>
  <c r="AK1464" i="1"/>
  <c r="AK1465" i="1" a="1"/>
  <c r="AK1465" i="1"/>
  <c r="AK1466" i="1" a="1"/>
  <c r="AK1466" i="1" s="1"/>
  <c r="AK1467" i="1" a="1"/>
  <c r="AK1467" i="1"/>
  <c r="AK1468" i="1" a="1"/>
  <c r="AK1468" i="1" s="1"/>
  <c r="AK1469" i="1" a="1"/>
  <c r="AK1469" i="1" s="1"/>
  <c r="AK1470" i="1" a="1"/>
  <c r="AK1470" i="1"/>
  <c r="AK1471" i="1" a="1"/>
  <c r="AK1471"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AJ2" i="1"/>
  <c r="E103" i="3"/>
  <c r="E105" i="3"/>
  <c r="E76" i="3"/>
  <c r="E13" i="2"/>
  <c r="D13" i="2"/>
  <c r="E102" i="3"/>
  <c r="C13" i="2"/>
  <c r="E106" i="3"/>
  <c r="C9" i="4"/>
  <c r="B11" i="3"/>
  <c r="E104" i="3"/>
  <c r="B10" i="3"/>
  <c r="F13" i="2"/>
  <c r="E99" i="3"/>
  <c r="E77" i="3"/>
  <c r="E107" i="3"/>
  <c r="E100" i="3"/>
  <c r="E101" i="3"/>
  <c r="E75" i="3"/>
  <c r="D9" i="4" l="1"/>
  <c r="C10" i="4"/>
  <c r="D10" i="4" s="1"/>
  <c r="G1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<sst xmlns="http://schemas.openxmlformats.org/spreadsheetml/2006/main" count="13348" uniqueCount="89">
  <si>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</si>
  <si>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</si>
  <si>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</si>
  <si>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</si>
  <si>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</si>
  <si>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</si>
  <si>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</si>
  <si>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</si>
  <si>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</si>
  <si>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</si>
  <si>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</si>
  <si>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</si>
  <si>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</si>
  <si>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</si>
  <si>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</si>
  <si>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</si>
  <si>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</si>
  <si>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</si>
  <si>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</si>
  <si>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</si>
  <si>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</si>
  <si>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</si>
  <si>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</si>
  <si>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</si>
  <si>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</si>
  <si>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</si>
  <si>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</si>
  <si>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</si>
  <si>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</si>
  <si>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</si>
  <si>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</si>
  <si>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</si>
  <si>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</si>
  <si>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</si>
  <si>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</si>
  <si>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</si>
  <si>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</si>
  <si>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</si>
  <si>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</si>
  <si>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</si>
  <si>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</si>
  <si>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</si>
  <si>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</si>
  <si>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</si>
  <si>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</si>
  <si>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</si>
  <si>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</si>
  <si>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</si>
  <si>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</si>
  <si>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</si>
  <si>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</si>
  <si>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</si>
  <si>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</si>
  <si>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</si>
  <si>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</si>
  <si>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</si>
  <si>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</si>
  <si>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</si>
  <si>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</si>
  <si>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</si>
  <si>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</si>
  <si>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</si>
  <si>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Attrition_value</t>
  </si>
  <si>
    <t>Age_band</t>
  </si>
  <si>
    <t>35-44</t>
  </si>
  <si>
    <t>Average of Age</t>
  </si>
  <si>
    <t>Row Labels</t>
  </si>
  <si>
    <t>Grand Total</t>
  </si>
  <si>
    <t xml:space="preserve">TOTAL EMPLOYEES </t>
  </si>
  <si>
    <t>ATTRITION</t>
  </si>
  <si>
    <t>Count of EmployeeNumber</t>
  </si>
  <si>
    <t>ACTIVE EMPLOYEES</t>
  </si>
  <si>
    <t>AVERAGE AGE</t>
  </si>
  <si>
    <t>ATTRITON RATE</t>
  </si>
  <si>
    <t>TOTAL EMPLOYEE BY GENDER</t>
  </si>
  <si>
    <t>Count of Attrition</t>
  </si>
  <si>
    <t xml:space="preserve">EDUCATION WISE ATTRITION </t>
  </si>
  <si>
    <t>Sum of Attrition_value</t>
  </si>
  <si>
    <t>DEPARTMENT WISE ATTRITION</t>
  </si>
  <si>
    <t>25-34</t>
  </si>
  <si>
    <t>45-54</t>
  </si>
  <si>
    <t>OVER 55</t>
  </si>
  <si>
    <t>UNDER 25</t>
  </si>
  <si>
    <t>ATTRITION BY AGE GROUP</t>
  </si>
  <si>
    <t>count</t>
  </si>
  <si>
    <t xml:space="preserve">avg of performancerating </t>
  </si>
  <si>
    <t>Average of JobSatisfaction</t>
  </si>
  <si>
    <t>compliment</t>
  </si>
  <si>
    <t>ATTRITION BY MARITAL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</si>
</sst>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0000000"/>
    <numFmt numFmtId="165"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0" borderId="0" xfId="0" pivotButton="1"/>
    <xf numFmtId="0" fontId="0" fillId="0" borderId="0" xfId="0" applyAlignment="1">
      <alignment horizontal="left"/>
    </xf>
    <xf numFmtId="10" fontId="0" fillId="0" borderId="0" xfId="0" applyNumberFormat="1"/>
    <xf numFmtId="1" fontId="0" fillId="0" borderId="0" xfId="0" applyNumberFormat="1"/>
    <xf numFmtId="0" fontId="0" fillId="33" borderId="0" xfId="0" applyFill="1"/>
    <xf numFmtId="164" fontId="0" fillId="0" borderId="0" xfId="0" applyNumberFormat="1"/>
    <xf numFmtId="165" fontId="0" fillId="0" borderId="0" xfId="0" applyNumberFormat="1"/>
    <xf numFmtId="0" fontId="18" fillId="0" borderId="0" xfId="0" applyFont="1" applyAlignment="1">
      <alignment horizontal="center"/>
    </xf>
    <xf numFmtId="0" fontId="0" fillId="0" borderId="0" xfId="0" applyAlignment="1">
      <alignment horizontal="center"/>
    </xf>
    <xf numFmtId="0" fontId="18" fillId="0" borderId="0" xfId="0" applyFont="1" applyAlignment="1">
      <alignment horizontal="center" wrapText="1"/>
    </xf>
    <xf numFmtId="0" fontId="0" fillId="0" borderId="0" xfId="0"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64" formatCode="0.0000000000"/>
    </dxf>
  </dxfs>
  <tableStyles count="1" defaultTableStyle="TableStyleMedium2" defaultPivotStyle="PivotStyleLight16">
    <tableStyle name="Slicer Style 2" pivot="0" table="0" count="1" xr9:uid="{47617281-7688-42DB-AFF5-611740769925}"/>
  </tableStyles>
  <extLst>
    <ext xmlns:x14="http://schemas.microsoft.com/office/spreadsheetml/2009/9/main" uri="{46F421CA-312F-682f-3DD2-61675219B42D}">
      <x14:dxfs count="1">
        <dxf>
          <fill>
            <patternFill>
              <bgColor theme="9" tint="0.39994506668294322"/>
            </patternFill>
          </fill>
        </dxf>
      </x14:dxfs>
    </ext>
    <ext xmlns:x14="http://schemas.microsoft.com/office/spreadsheetml/2009/9/main" uri="{EB79DEF2-80B8-43e5-95BD-54CBDDF9020C}">
      <x14:slicerStyles defaultSlicerStyle="SlicerStyleLight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0"/>
  </c:pivotSource>
  <c:chart>
    <c:autoTitleDeleted val="1"/>
    <c:pivotFmts>
      <c:pivotFmt>
        <c:idx val="0"/>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w="19050">
            <a:solidFill>
              <a:schemeClr val="lt1"/>
            </a:solidFill>
          </a:ln>
          <a:effectLst/>
        </c:spPr>
      </c:pivotFmt>
      <c:pivotFmt>
        <c:idx val="2"/>
        <c:spPr>
          <a:solidFill>
            <a:schemeClr val="accent4">
              <a:lumMod val="60000"/>
              <a:lumOff val="40000"/>
            </a:schemeClr>
          </a:solidFill>
          <a:ln w="19050">
            <a:solidFill>
              <a:schemeClr val="lt1"/>
            </a:solidFill>
          </a:ln>
          <a:effectLst/>
        </c:spPr>
      </c:pivotFmt>
      <c:pivotFmt>
        <c:idx val="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w="19050">
            <a:solidFill>
              <a:schemeClr val="lt1"/>
            </a:solidFill>
          </a:ln>
          <a:effectLst/>
        </c:spPr>
      </c:pivotFmt>
      <c:pivotFmt>
        <c:idx val="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w="19050">
            <a:solidFill>
              <a:schemeClr val="lt1"/>
            </a:solidFill>
          </a:ln>
          <a:effectLst/>
        </c:spPr>
      </c:pivotFmt>
      <c:pivotFmt>
        <c:idx val="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w="19050">
            <a:solidFill>
              <a:schemeClr val="lt1"/>
            </a:solidFill>
          </a:ln>
          <a:effectLst/>
        </c:spPr>
      </c:pivotFmt>
      <c:pivotFmt>
        <c:idx val="9"/>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w="19050">
            <a:solidFill>
              <a:schemeClr val="lt1"/>
            </a:solidFill>
          </a:ln>
          <a:effectLst/>
        </c:spPr>
      </c:pivotFmt>
      <c:pivotFmt>
        <c:idx val="11"/>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w="19050">
            <a:solidFill>
              <a:schemeClr val="lt1"/>
            </a:solidFill>
          </a:ln>
          <a:effectLst/>
        </c:spPr>
      </c:pivotFmt>
      <c:pivotFmt>
        <c:idx val="1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w="19050">
            <a:solidFill>
              <a:schemeClr val="lt1"/>
            </a:solidFill>
          </a:ln>
          <a:effectLst/>
        </c:spPr>
      </c:pivotFmt>
      <c:pivotFmt>
        <c:idx val="1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w="19050">
            <a:solidFill>
              <a:schemeClr val="lt1"/>
            </a:solidFill>
          </a:ln>
          <a:effectLst/>
        </c:spPr>
      </c:pivotFmt>
      <c:pivotFmt>
        <c:idx val="1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lumMod val="60000"/>
              <a:lumOff val="40000"/>
            </a:schemeClr>
          </a:solidFill>
          <a:ln w="19050">
            <a:solidFill>
              <a:schemeClr val="lt1"/>
            </a:solidFill>
          </a:ln>
          <a:effectLst/>
        </c:spPr>
      </c:pivotFmt>
      <c:pivotFmt>
        <c:idx val="19"/>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0"/>
        <c:spPr>
          <a:solidFill>
            <a:schemeClr val="bg2"/>
          </a:solidFill>
          <a:ln w="19050">
            <a:solidFill>
              <a:schemeClr val="lt1"/>
            </a:solidFill>
          </a:ln>
          <a:effectLst/>
        </c:spPr>
      </c:pivotFmt>
    </c:pivotFmts>
    <c:plotArea>
      <c:layout>
        <c:manualLayout>
          <c:layoutTarget val="inner"/>
          <c:xMode val="edge"/>
          <c:yMode val="edge"/>
          <c:x val="9.9658221339490038E-2"/>
          <c:y val="6.680969896205087E-2"/>
          <c:w val="0.81664467560784149"/>
          <c:h val="0.8646503667014086"/>
        </c:manualLayout>
      </c:layout>
      <c:doughnutChart>
        <c:varyColors val="0"/>
        <c:ser>
          <c:idx val="0"/>
          <c:order val="0"/>
          <c:tx>
            <c:strRef>
              <c:f>Charts!$B$4</c:f>
              <c:strCache>
                <c:ptCount val="1"/>
                <c:pt idx="0">
                  <c:v>Total</c:v>
                </c:pt>
              </c:strCache>
            </c:strRef>
          </c:tx>
          <c:spPr>
            <a:solidFill>
              <a:schemeClr val="accent5">
                <a:lumMod val="60000"/>
                <a:lumOff val="40000"/>
              </a:schemeClr>
            </a:solidFill>
            <a:ln w="19050">
              <a:solidFill>
                <a:schemeClr val="lt1"/>
              </a:solidFill>
            </a:ln>
            <a:effectLst/>
          </c:spPr>
          <c:dPt>
            <c:idx val="1"/>
            <c:bubble3D val="0"/>
            <c:spPr>
              <a:solidFill>
                <a:schemeClr val="bg2"/>
              </a:solidFill>
              <a:ln w="19050">
                <a:solidFill>
                  <a:schemeClr val="lt1"/>
                </a:solidFill>
              </a:ln>
              <a:effectLst/>
            </c:spPr>
            <c:extLst>
              <c:ext xmlns:c16="http://schemas.microsoft.com/office/drawing/2014/chart" uri="{C3380CC4-5D6E-409C-BE32-E72D297353CC}">
                <c16:uniqueId val="{0000000C-F231-4B39-8311-2497890E5A75}"/>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D-F231-4B39-8311-2497890E5A75}"/>
            </c:ext>
          </c:extLst>
        </c:ser>
        <c:dLbls>
          <c:showLegendKey val="0"/>
          <c:showVal val="0"/>
          <c:showCatName val="0"/>
          <c:showSerName val="0"/>
          <c:showPercent val="0"/>
          <c:showBubbleSize val="0"/>
          <c:showLeaderLines val="1"/>
        </c:dLbls>
        <c:firstSliceAng val="0"/>
        <c:holeSize val="55"/>
      </c:doughnutChart>
      <c:spPr>
        <a:ln>
          <a:noFill/>
        </a:ln>
      </c:spPr>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1.xlsx]Charts!PivotTable4</c:name>
    <c:fmtId val="0"/>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Charts!$B$20</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Charts!$A$21:$A$27</c:f>
              <c:strCache>
                <c:ptCount val="6"/>
                <c:pt idx="0">
                  <c:v>Human Resources</c:v>
                </c:pt>
                <c:pt idx="1">
                  <c:v>Other</c:v>
                </c:pt>
                <c:pt idx="2">
                  <c:v>Technical Degree</c:v>
                </c:pt>
                <c:pt idx="3">
                  <c:v>Marketing</c:v>
                </c:pt>
                <c:pt idx="4">
                  <c:v>Medical</c:v>
                </c:pt>
                <c:pt idx="5">
                  <c:v>Life Sciences</c:v>
                </c:pt>
              </c:strCache>
            </c:strRef>
          </c:cat>
          <c:val>
            <c:numRef>
              <c:f>Charts!$B$21:$B$27</c:f>
              <c:numCache>
                <c:formatCode>General</c:formatCode>
                <c:ptCount val="6"/>
                <c:pt idx="0">
                  <c:v>27</c:v>
                </c:pt>
                <c:pt idx="1">
                  <c:v>82</c:v>
                </c:pt>
                <c:pt idx="2">
                  <c:v>132</c:v>
                </c:pt>
                <c:pt idx="3">
                  <c:v>159</c:v>
                </c:pt>
                <c:pt idx="4">
                  <c:v>464</c:v>
                </c:pt>
                <c:pt idx="5">
                  <c:v>606</c:v>
                </c:pt>
              </c:numCache>
            </c:numRef>
          </c:val>
          <c:extLst>
            <c:ext xmlns:c16="http://schemas.microsoft.com/office/drawing/2014/chart" uri="{C3380CC4-5D6E-409C-BE32-E72D297353CC}">
              <c16:uniqueId val="{00000000-1219-42A7-89C4-F142596FBAD1}"/>
            </c:ext>
          </c:extLst>
        </c:ser>
        <c:dLbls>
          <c:dLblPos val="outEnd"/>
          <c:showLegendKey val="0"/>
          <c:showVal val="1"/>
          <c:showCatName val="0"/>
          <c:showSerName val="0"/>
          <c:showPercent val="0"/>
          <c:showBubbleSize val="0"/>
        </c:dLbls>
        <c:gapWidth val="100"/>
        <c:overlap val="100"/>
        <c:axId val="1309814303"/>
        <c:axId val="1309818623"/>
      </c:barChart>
      <c:catAx>
        <c:axId val="130981430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09818623"/>
        <c:crosses val="autoZero"/>
        <c:auto val="1"/>
        <c:lblAlgn val="ctr"/>
        <c:lblOffset val="100"/>
        <c:noMultiLvlLbl val="0"/>
      </c:catAx>
      <c:valAx>
        <c:axId val="13098186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81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1.xlsx]Charts!PivotTable5</c:name>
    <c:fmtId val="0"/>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lumMod val="50000"/>
            </a:schemeClr>
          </a:solidFill>
          <a:ln w="19050">
            <a:solidFill>
              <a:schemeClr val="lt1"/>
            </a:solidFill>
          </a:ln>
          <a:effectLst/>
        </c:spPr>
      </c:pivotFmt>
      <c:pivotFmt>
        <c:idx val="3"/>
        <c:spPr>
          <a:solidFill>
            <a:schemeClr val="accent4">
              <a:lumMod val="40000"/>
              <a:lumOff val="60000"/>
            </a:schemeClr>
          </a:solidFill>
          <a:ln w="19050">
            <a:solidFill>
              <a:schemeClr val="lt1"/>
            </a:solidFill>
          </a:ln>
          <a:effectLst/>
        </c:spPr>
      </c:pivotFmt>
    </c:pivotFmts>
    <c:plotArea>
      <c:layout/>
      <c:pieChart>
        <c:varyColors val="1"/>
        <c:ser>
          <c:idx val="0"/>
          <c:order val="0"/>
          <c:tx>
            <c:strRef>
              <c:f>Charts!$B$39</c:f>
              <c:strCache>
                <c:ptCount val="1"/>
                <c:pt idx="0">
                  <c:v>Total</c:v>
                </c:pt>
              </c:strCache>
            </c:strRef>
          </c:tx>
          <c:spPr>
            <a:solidFill>
              <a:schemeClr val="accent6"/>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4-EBBC-459E-B44B-BFB73BA8BF3B}"/>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2-EBBC-459E-B44B-BFB73BA8BF3B}"/>
              </c:ext>
            </c:extLst>
          </c:dPt>
          <c:dPt>
            <c:idx val="2"/>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3-EBBC-459E-B44B-BFB73BA8BF3B}"/>
              </c:ext>
            </c:extLst>
          </c:dPt>
          <c:cat>
            <c:strRef>
              <c:f>Charts!$A$40:$A$43</c:f>
              <c:strCache>
                <c:ptCount val="3"/>
                <c:pt idx="0">
                  <c:v>Human Resources</c:v>
                </c:pt>
                <c:pt idx="1">
                  <c:v>Research &amp; Development</c:v>
                </c:pt>
                <c:pt idx="2">
                  <c:v>Sales</c:v>
                </c:pt>
              </c:strCache>
            </c:strRef>
          </c:cat>
          <c:val>
            <c:numRef>
              <c:f>Charts!$B$40:$B$43</c:f>
              <c:numCache>
                <c:formatCode>General</c:formatCode>
                <c:ptCount val="3"/>
                <c:pt idx="0">
                  <c:v>12</c:v>
                </c:pt>
                <c:pt idx="1">
                  <c:v>133</c:v>
                </c:pt>
                <c:pt idx="2">
                  <c:v>92</c:v>
                </c:pt>
              </c:numCache>
            </c:numRef>
          </c:val>
          <c:extLst>
            <c:ext xmlns:c16="http://schemas.microsoft.com/office/drawing/2014/chart" uri="{C3380CC4-5D6E-409C-BE32-E72D297353CC}">
              <c16:uniqueId val="{00000000-EBBC-459E-B44B-BFB73BA8BF3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1.xlsx]Charts!PivotTable6</c:name>
    <c:fmtId val="0"/>
  </c:pivotSource>
  <c:chart>
    <c:autoTitleDeleted val="1"/>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pivotFmt>
    </c:pivotFmts>
    <c:plotArea>
      <c:layout/>
      <c:barChart>
        <c:barDir val="col"/>
        <c:grouping val="clustered"/>
        <c:varyColors val="0"/>
        <c:ser>
          <c:idx val="0"/>
          <c:order val="0"/>
          <c:tx>
            <c:strRef>
              <c:f>Charts!$B$57</c:f>
              <c:strCache>
                <c:ptCount val="1"/>
                <c:pt idx="0">
                  <c:v>Total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Charts!$A$58:$A$63</c:f>
              <c:strCache>
                <c:ptCount val="5"/>
                <c:pt idx="0">
                  <c:v>25-34</c:v>
                </c:pt>
                <c:pt idx="1">
                  <c:v>35-44</c:v>
                </c:pt>
                <c:pt idx="2">
                  <c:v>UNDER 25</c:v>
                </c:pt>
                <c:pt idx="3">
                  <c:v>45-54</c:v>
                </c:pt>
                <c:pt idx="4">
                  <c:v>OVER 55</c:v>
                </c:pt>
              </c:strCache>
            </c:strRef>
          </c:cat>
          <c:val>
            <c:numRef>
              <c:f>Charts!$B$58:$B$63</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8F83-413D-B445-29ADC7D3F534}"/>
            </c:ext>
          </c:extLst>
        </c:ser>
        <c:dLbls>
          <c:dLblPos val="outEnd"/>
          <c:showLegendKey val="0"/>
          <c:showVal val="1"/>
          <c:showCatName val="0"/>
          <c:showSerName val="0"/>
          <c:showPercent val="0"/>
          <c:showBubbleSize val="0"/>
        </c:dLbls>
        <c:gapWidth val="104"/>
        <c:overlap val="-100"/>
        <c:axId val="1650462351"/>
        <c:axId val="1650470511"/>
      </c:barChart>
      <c:catAx>
        <c:axId val="165046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470511"/>
        <c:crosses val="autoZero"/>
        <c:auto val="1"/>
        <c:lblAlgn val="ctr"/>
        <c:lblOffset val="100"/>
        <c:noMultiLvlLbl val="0"/>
      </c:catAx>
      <c:valAx>
        <c:axId val="1650470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46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9"/>
  </c:pivotSource>
  <c:chart>
    <c:autoTitleDeleted val="1"/>
    <c:pivotFmts>
      <c:pivotFmt>
        <c:idx val="0"/>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solidFill>
          <a:ln w="19050">
            <a:solidFill>
              <a:schemeClr val="lt1"/>
            </a:solidFill>
          </a:ln>
          <a:effectLst/>
        </c:spPr>
      </c:pivotFmt>
    </c:pivotFmts>
    <c:plotArea>
      <c:layout>
        <c:manualLayout>
          <c:layoutTarget val="inner"/>
          <c:xMode val="edge"/>
          <c:yMode val="edge"/>
          <c:x val="0.1267824074074074"/>
          <c:y val="5.4888888888888897E-2"/>
          <c:w val="0.77583333333333337"/>
          <c:h val="0.90983333333333338"/>
        </c:manualLayout>
      </c:layout>
      <c:doughnutChart>
        <c:varyColors val="0"/>
        <c:ser>
          <c:idx val="0"/>
          <c:order val="0"/>
          <c:tx>
            <c:strRef>
              <c:f>Charts!$B$4</c:f>
              <c:strCache>
                <c:ptCount val="1"/>
                <c:pt idx="0">
                  <c:v>Total</c:v>
                </c:pt>
              </c:strCache>
            </c:strRef>
          </c:tx>
          <c:spPr>
            <a:solidFill>
              <a:schemeClr val="bg2"/>
            </a:solidFill>
            <a:ln w="19050">
              <a:solidFill>
                <a:schemeClr val="lt1"/>
              </a:solidFill>
            </a:ln>
            <a:effectLst/>
          </c:spPr>
          <c:dPt>
            <c:idx val="1"/>
            <c:bubble3D val="0"/>
            <c:spPr>
              <a:solidFill>
                <a:srgbClr val="0070C0"/>
              </a:solidFill>
              <a:ln w="19050">
                <a:solidFill>
                  <a:schemeClr val="lt1"/>
                </a:solidFill>
              </a:ln>
              <a:effectLst/>
            </c:spPr>
            <c:extLst>
              <c:ext xmlns:c16="http://schemas.microsoft.com/office/drawing/2014/chart" uri="{C3380CC4-5D6E-409C-BE32-E72D297353CC}">
                <c16:uniqueId val="{00000002-0EAC-4679-8A42-41AF918804B3}"/>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0-0EAC-4679-8A42-41AF918804B3}"/>
            </c:ext>
          </c:extLst>
        </c:ser>
        <c:dLbls>
          <c:showLegendKey val="0"/>
          <c:showVal val="0"/>
          <c:showCatName val="0"/>
          <c:showSerName val="0"/>
          <c:showPercent val="0"/>
          <c:showBubbleSize val="0"/>
          <c:showLeaderLines val="1"/>
        </c:dLbls>
        <c:firstSliceAng val="0"/>
        <c:holeSize val="5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rating!$C$9</c:f>
              <c:numCache>
                <c:formatCode>0.0</c:formatCode>
                <c:ptCount val="1"/>
                <c:pt idx="0">
                  <c:v>2.7285714285714286</c:v>
                </c:pt>
              </c:numCache>
            </c:numRef>
          </c:val>
          <c:extLst>
            <c:ext xmlns:c16="http://schemas.microsoft.com/office/drawing/2014/chart" uri="{C3380CC4-5D6E-409C-BE32-E72D297353CC}">
              <c16:uniqueId val="{00000000-CAB5-497D-AEDE-ADAF58726ACE}"/>
            </c:ext>
          </c:extLst>
        </c:ser>
        <c:ser>
          <c:idx val="1"/>
          <c:order val="1"/>
          <c:spPr>
            <a:solidFill>
              <a:schemeClr val="accent2"/>
            </a:solidFill>
            <a:ln>
              <a:noFill/>
            </a:ln>
            <a:effectLst/>
          </c:spPr>
          <c:invertIfNegative val="0"/>
          <c:val>
            <c:numRef>
              <c:f>rating!$C$10</c:f>
              <c:numCache>
                <c:formatCode>General</c:formatCode>
                <c:ptCount val="1"/>
                <c:pt idx="0">
                  <c:v>1.2714285714285714</c:v>
                </c:pt>
              </c:numCache>
            </c:numRef>
          </c:val>
          <c:extLst>
            <c:ext xmlns:c16="http://schemas.microsoft.com/office/drawing/2014/chart" uri="{C3380CC4-5D6E-409C-BE32-E72D297353CC}">
              <c16:uniqueId val="{00000001-CAB5-497D-AEDE-ADAF58726ACE}"/>
            </c:ext>
          </c:extLst>
        </c:ser>
        <c:dLbls>
          <c:showLegendKey val="0"/>
          <c:showVal val="0"/>
          <c:showCatName val="0"/>
          <c:showSerName val="0"/>
          <c:showPercent val="0"/>
          <c:showBubbleSize val="0"/>
        </c:dLbls>
        <c:gapWidth val="150"/>
        <c:overlap val="100"/>
        <c:axId val="1466257184"/>
        <c:axId val="1466253344"/>
      </c:barChart>
      <c:catAx>
        <c:axId val="1466257184"/>
        <c:scaling>
          <c:orientation val="minMax"/>
        </c:scaling>
        <c:delete val="1"/>
        <c:axPos val="l"/>
        <c:numFmt formatCode="General" sourceLinked="1"/>
        <c:majorTickMark val="none"/>
        <c:minorTickMark val="none"/>
        <c:tickLblPos val="nextTo"/>
        <c:crossAx val="1466253344"/>
        <c:crosses val="autoZero"/>
        <c:auto val="1"/>
        <c:lblAlgn val="ctr"/>
        <c:lblOffset val="100"/>
        <c:noMultiLvlLbl val="0"/>
      </c:catAx>
      <c:valAx>
        <c:axId val="1466253344"/>
        <c:scaling>
          <c:orientation val="minMax"/>
        </c:scaling>
        <c:delete val="1"/>
        <c:axPos val="b"/>
        <c:numFmt formatCode="0.0" sourceLinked="1"/>
        <c:majorTickMark val="none"/>
        <c:minorTickMark val="none"/>
        <c:tickLblPos val="nextTo"/>
        <c:crossAx val="14662571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C89-41B0-AD89-8F0DA304F6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C89-41B0-AD89-8F0DA304F633}"/>
              </c:ext>
            </c:extLst>
          </c:dPt>
          <c:val>
            <c:numRef>
              <c:f>rating!$D$9:$D$10</c:f>
              <c:numCache>
                <c:formatCode>General</c:formatCode>
                <c:ptCount val="2"/>
                <c:pt idx="0">
                  <c:v>0.68214285714285716</c:v>
                </c:pt>
                <c:pt idx="1">
                  <c:v>0.31785714285714284</c:v>
                </c:pt>
              </c:numCache>
            </c:numRef>
          </c:val>
          <c:extLst>
            <c:ext xmlns:c16="http://schemas.microsoft.com/office/drawing/2014/chart" uri="{C3380CC4-5D6E-409C-BE32-E72D297353CC}">
              <c16:uniqueId val="{00000000-A8B9-463A-BC19-EDF4E2FA3F7F}"/>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12"/>
  </c:pivotSource>
  <c:chart>
    <c:autoTitleDeleted val="1"/>
    <c:pivotFmts>
      <c:pivotFmt>
        <c:idx val="0"/>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w="19050">
            <a:solidFill>
              <a:schemeClr val="lt1"/>
            </a:solidFill>
          </a:ln>
          <a:effectLst/>
        </c:spPr>
      </c:pivotFmt>
      <c:pivotFmt>
        <c:idx val="2"/>
        <c:spPr>
          <a:solidFill>
            <a:schemeClr val="accent4">
              <a:lumMod val="60000"/>
              <a:lumOff val="40000"/>
            </a:schemeClr>
          </a:solidFill>
          <a:ln w="19050">
            <a:solidFill>
              <a:schemeClr val="lt1"/>
            </a:solidFill>
          </a:ln>
          <a:effectLst/>
        </c:spPr>
      </c:pivotFmt>
      <c:pivotFmt>
        <c:idx val="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w="19050">
            <a:solidFill>
              <a:schemeClr val="lt1"/>
            </a:solidFill>
          </a:ln>
          <a:effectLst/>
        </c:spPr>
      </c:pivotFmt>
      <c:pivotFmt>
        <c:idx val="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w="19050">
            <a:solidFill>
              <a:schemeClr val="lt1"/>
            </a:solidFill>
          </a:ln>
          <a:effectLst/>
        </c:spPr>
      </c:pivotFmt>
      <c:pivotFmt>
        <c:idx val="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w="19050">
            <a:solidFill>
              <a:schemeClr val="lt1"/>
            </a:solidFill>
          </a:ln>
          <a:effectLst/>
        </c:spPr>
      </c:pivotFmt>
      <c:pivotFmt>
        <c:idx val="9"/>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w="19050">
            <a:solidFill>
              <a:schemeClr val="lt1"/>
            </a:solidFill>
          </a:ln>
          <a:effectLst/>
        </c:spPr>
      </c:pivotFmt>
      <c:pivotFmt>
        <c:idx val="11"/>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w="19050">
            <a:solidFill>
              <a:schemeClr val="lt1"/>
            </a:solidFill>
          </a:ln>
          <a:effectLst/>
        </c:spPr>
      </c:pivotFmt>
      <c:pivotFmt>
        <c:idx val="13"/>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w="19050">
            <a:solidFill>
              <a:schemeClr val="lt1"/>
            </a:solidFill>
          </a:ln>
          <a:effectLst/>
        </c:spPr>
      </c:pivotFmt>
      <c:pivotFmt>
        <c:idx val="15"/>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w="19050">
            <a:solidFill>
              <a:schemeClr val="lt1"/>
            </a:solidFill>
          </a:ln>
          <a:effectLst/>
        </c:spPr>
      </c:pivotFmt>
      <c:pivotFmt>
        <c:idx val="17"/>
        <c:spPr>
          <a:solidFill>
            <a:schemeClr val="accent5">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lumMod val="60000"/>
              <a:lumOff val="40000"/>
            </a:schemeClr>
          </a:solidFill>
          <a:ln w="19050">
            <a:solidFill>
              <a:schemeClr val="lt1"/>
            </a:solidFill>
          </a:ln>
          <a:effectLst/>
        </c:spPr>
      </c:pivotFmt>
      <c:pivotFmt>
        <c:idx val="19"/>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0"/>
        <c:spPr>
          <a:solidFill>
            <a:schemeClr val="bg2"/>
          </a:solidFill>
          <a:ln w="19050">
            <a:solidFill>
              <a:schemeClr val="lt1"/>
            </a:solidFill>
          </a:ln>
          <a:effectLst/>
        </c:spPr>
      </c:pivotFmt>
      <c:pivotFmt>
        <c:idx val="21"/>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2"/>
        <c:spPr>
          <a:solidFill>
            <a:schemeClr val="bg2"/>
          </a:solidFill>
          <a:ln w="19050">
            <a:solidFill>
              <a:schemeClr val="lt1"/>
            </a:solidFill>
          </a:ln>
          <a:effectLst/>
        </c:spPr>
      </c:pivotFmt>
      <c:pivotFmt>
        <c:idx val="23"/>
        <c:spPr>
          <a:solidFill>
            <a:schemeClr val="accent5">
              <a:lumMod val="60000"/>
              <a:lumOff val="40000"/>
            </a:schemeClr>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4"/>
        <c:spPr>
          <a:solidFill>
            <a:schemeClr val="bg2"/>
          </a:solidFill>
          <a:ln w="19050">
            <a:solidFill>
              <a:schemeClr val="lt1"/>
            </a:solidFill>
          </a:ln>
          <a:effectLst/>
        </c:spPr>
      </c:pivotFmt>
    </c:pivotFmts>
    <c:plotArea>
      <c:layout>
        <c:manualLayout>
          <c:layoutTarget val="inner"/>
          <c:xMode val="edge"/>
          <c:yMode val="edge"/>
          <c:x val="2.6709027777777779E-2"/>
          <c:y val="2.7156249999999996E-2"/>
          <c:w val="0.94590656563569908"/>
          <c:h val="0.9582784261227405"/>
        </c:manualLayout>
      </c:layout>
      <c:doughnutChart>
        <c:varyColors val="0"/>
        <c:ser>
          <c:idx val="0"/>
          <c:order val="0"/>
          <c:tx>
            <c:strRef>
              <c:f>Charts!$B$4</c:f>
              <c:strCache>
                <c:ptCount val="1"/>
                <c:pt idx="0">
                  <c:v>Total</c:v>
                </c:pt>
              </c:strCache>
            </c:strRef>
          </c:tx>
          <c:spPr>
            <a:solidFill>
              <a:schemeClr val="accent5">
                <a:lumMod val="60000"/>
                <a:lumOff val="40000"/>
              </a:schemeClr>
            </a:solidFill>
            <a:ln w="19050">
              <a:solidFill>
                <a:schemeClr val="lt1"/>
              </a:solidFill>
            </a:ln>
            <a:effectLst/>
          </c:spPr>
          <c:dPt>
            <c:idx val="1"/>
            <c:bubble3D val="0"/>
            <c:spPr>
              <a:solidFill>
                <a:schemeClr val="bg2"/>
              </a:solidFill>
              <a:ln w="19050">
                <a:solidFill>
                  <a:schemeClr val="lt1"/>
                </a:solidFill>
              </a:ln>
              <a:effectLst/>
            </c:spPr>
            <c:extLst>
              <c:ext xmlns:c16="http://schemas.microsoft.com/office/drawing/2014/chart" uri="{C3380CC4-5D6E-409C-BE32-E72D297353CC}">
                <c16:uniqueId val="{00000001-97F2-49F0-A823-2025E99FCE86}"/>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2-97F2-49F0-A823-2025E99FCE86}"/>
            </c:ext>
          </c:extLst>
        </c:ser>
        <c:dLbls>
          <c:showLegendKey val="0"/>
          <c:showVal val="0"/>
          <c:showCatName val="0"/>
          <c:showSerName val="0"/>
          <c:showPercent val="0"/>
          <c:showBubbleSize val="0"/>
          <c:showLeaderLines val="1"/>
        </c:dLbls>
        <c:firstSliceAng val="0"/>
        <c:holeSize val="55"/>
      </c:doughnutChart>
      <c:spPr>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1.xlsx]Charts!PivotTable3</c:name>
    <c:fmtId val="13"/>
  </c:pivotSource>
  <c:chart>
    <c:autoTitleDeleted val="1"/>
    <c:pivotFmts>
      <c:pivotFmt>
        <c:idx val="0"/>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solidFill>
          <a:ln w="19050">
            <a:solidFill>
              <a:schemeClr val="lt1"/>
            </a:solidFill>
          </a:ln>
          <a:effectLst/>
        </c:spPr>
      </c:pivotFmt>
      <c:pivotFmt>
        <c:idx val="3"/>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w="19050">
            <a:solidFill>
              <a:schemeClr val="lt1"/>
            </a:solidFill>
          </a:ln>
          <a:effectLst/>
        </c:spPr>
      </c:pivotFmt>
      <c:pivotFmt>
        <c:idx val="5"/>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70C0"/>
          </a:solidFill>
          <a:ln w="19050">
            <a:solidFill>
              <a:schemeClr val="lt1"/>
            </a:solidFill>
          </a:ln>
          <a:effectLst/>
        </c:spPr>
      </c:pivotFmt>
    </c:pivotFmts>
    <c:plotArea>
      <c:layout>
        <c:manualLayout>
          <c:layoutTarget val="inner"/>
          <c:xMode val="edge"/>
          <c:yMode val="edge"/>
          <c:x val="3.8909190334309632E-2"/>
          <c:y val="2.7191259732963255E-2"/>
          <c:w val="0.93693642402632138"/>
          <c:h val="0.95161270748246873"/>
        </c:manualLayout>
      </c:layout>
      <c:doughnutChart>
        <c:varyColors val="0"/>
        <c:ser>
          <c:idx val="0"/>
          <c:order val="0"/>
          <c:tx>
            <c:strRef>
              <c:f>Charts!$B$4</c:f>
              <c:strCache>
                <c:ptCount val="1"/>
                <c:pt idx="0">
                  <c:v>Total</c:v>
                </c:pt>
              </c:strCache>
            </c:strRef>
          </c:tx>
          <c:spPr>
            <a:solidFill>
              <a:schemeClr val="bg2"/>
            </a:solidFill>
            <a:ln w="19050">
              <a:solidFill>
                <a:schemeClr val="lt1"/>
              </a:solidFill>
            </a:ln>
            <a:effectLst/>
          </c:spPr>
          <c:dPt>
            <c:idx val="1"/>
            <c:bubble3D val="0"/>
            <c:spPr>
              <a:solidFill>
                <a:srgbClr val="0070C0"/>
              </a:solidFill>
              <a:ln w="19050">
                <a:solidFill>
                  <a:schemeClr val="lt1"/>
                </a:solidFill>
              </a:ln>
              <a:effectLst/>
            </c:spPr>
            <c:extLst>
              <c:ext xmlns:c16="http://schemas.microsoft.com/office/drawing/2014/chart" uri="{C3380CC4-5D6E-409C-BE32-E72D297353CC}">
                <c16:uniqueId val="{00000001-625C-41F6-99F9-34F5BCD3B13F}"/>
              </c:ext>
            </c:extLst>
          </c:dPt>
          <c:cat>
            <c:strRef>
              <c:f>Charts!$A$5:$A$7</c:f>
              <c:strCache>
                <c:ptCount val="2"/>
                <c:pt idx="0">
                  <c:v>Female</c:v>
                </c:pt>
                <c:pt idx="1">
                  <c:v>Male</c:v>
                </c:pt>
              </c:strCache>
            </c:strRef>
          </c:cat>
          <c:val>
            <c:numRef>
              <c:f>Charts!$B$5:$B$7</c:f>
              <c:numCache>
                <c:formatCode>General</c:formatCode>
                <c:ptCount val="2"/>
                <c:pt idx="0">
                  <c:v>588</c:v>
                </c:pt>
                <c:pt idx="1">
                  <c:v>882</c:v>
                </c:pt>
              </c:numCache>
            </c:numRef>
          </c:val>
          <c:extLst>
            <c:ext xmlns:c16="http://schemas.microsoft.com/office/drawing/2014/chart" uri="{C3380CC4-5D6E-409C-BE32-E72D297353CC}">
              <c16:uniqueId val="{00000002-625C-41F6-99F9-34F5BCD3B13F}"/>
            </c:ext>
          </c:extLst>
        </c:ser>
        <c:dLbls>
          <c:showLegendKey val="0"/>
          <c:showVal val="0"/>
          <c:showCatName val="0"/>
          <c:showSerName val="0"/>
          <c:showPercent val="0"/>
          <c:showBubbleSize val="0"/>
          <c:showLeaderLines val="1"/>
        </c:dLbls>
        <c:firstSliceAng val="0"/>
        <c:holeSize val="5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1.xlsx]Charts!PivotTable4</c:name>
    <c:fmtId val="5"/>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Charts!$B$20</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Charts!$A$21:$A$27</c:f>
              <c:strCache>
                <c:ptCount val="6"/>
                <c:pt idx="0">
                  <c:v>Human Resources</c:v>
                </c:pt>
                <c:pt idx="1">
                  <c:v>Other</c:v>
                </c:pt>
                <c:pt idx="2">
                  <c:v>Technical Degree</c:v>
                </c:pt>
                <c:pt idx="3">
                  <c:v>Marketing</c:v>
                </c:pt>
                <c:pt idx="4">
                  <c:v>Medical</c:v>
                </c:pt>
                <c:pt idx="5">
                  <c:v>Life Sciences</c:v>
                </c:pt>
              </c:strCache>
            </c:strRef>
          </c:cat>
          <c:val>
            <c:numRef>
              <c:f>Charts!$B$21:$B$27</c:f>
              <c:numCache>
                <c:formatCode>General</c:formatCode>
                <c:ptCount val="6"/>
                <c:pt idx="0">
                  <c:v>27</c:v>
                </c:pt>
                <c:pt idx="1">
                  <c:v>82</c:v>
                </c:pt>
                <c:pt idx="2">
                  <c:v>132</c:v>
                </c:pt>
                <c:pt idx="3">
                  <c:v>159</c:v>
                </c:pt>
                <c:pt idx="4">
                  <c:v>464</c:v>
                </c:pt>
                <c:pt idx="5">
                  <c:v>606</c:v>
                </c:pt>
              </c:numCache>
            </c:numRef>
          </c:val>
          <c:extLst>
            <c:ext xmlns:c16="http://schemas.microsoft.com/office/drawing/2014/chart" uri="{C3380CC4-5D6E-409C-BE32-E72D297353CC}">
              <c16:uniqueId val="{00000000-081F-4236-B611-AB02FC1429CF}"/>
            </c:ext>
          </c:extLst>
        </c:ser>
        <c:dLbls>
          <c:dLblPos val="outEnd"/>
          <c:showLegendKey val="0"/>
          <c:showVal val="1"/>
          <c:showCatName val="0"/>
          <c:showSerName val="0"/>
          <c:showPercent val="0"/>
          <c:showBubbleSize val="0"/>
        </c:dLbls>
        <c:gapWidth val="50"/>
        <c:overlap val="100"/>
        <c:axId val="1309814303"/>
        <c:axId val="1309818623"/>
      </c:barChart>
      <c:catAx>
        <c:axId val="130981430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309818623"/>
        <c:crosses val="autoZero"/>
        <c:auto val="1"/>
        <c:lblAlgn val="ctr"/>
        <c:lblOffset val="100"/>
        <c:noMultiLvlLbl val="0"/>
      </c:catAx>
      <c:valAx>
        <c:axId val="1309818623"/>
        <c:scaling>
          <c:orientation val="minMax"/>
        </c:scaling>
        <c:delete val="0"/>
        <c:axPos val="b"/>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30981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1.xlsx]Charts!PivotTable5</c:name>
    <c:fmtId val="3"/>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w="19050">
            <a:solidFill>
              <a:schemeClr val="lt1"/>
            </a:solidFill>
          </a:ln>
          <a:effectLst/>
        </c:spPr>
      </c:pivotFmt>
      <c:pivotFmt>
        <c:idx val="2"/>
        <c:spPr>
          <a:solidFill>
            <a:schemeClr val="bg2">
              <a:lumMod val="50000"/>
            </a:schemeClr>
          </a:solidFill>
          <a:ln w="19050">
            <a:solidFill>
              <a:schemeClr val="lt1"/>
            </a:solidFill>
          </a:ln>
          <a:effectLst/>
        </c:spPr>
      </c:pivotFmt>
      <c:pivotFmt>
        <c:idx val="3"/>
        <c:spPr>
          <a:solidFill>
            <a:schemeClr val="accent4">
              <a:lumMod val="40000"/>
              <a:lumOff val="60000"/>
            </a:schemeClr>
          </a:solidFill>
          <a:ln w="19050">
            <a:solidFill>
              <a:schemeClr val="lt1"/>
            </a:solidFill>
          </a:ln>
          <a:effectLst/>
        </c:spPr>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40000"/>
              <a:lumOff val="60000"/>
            </a:schemeClr>
          </a:solidFill>
          <a:ln w="19050">
            <a:solidFill>
              <a:schemeClr val="lt1"/>
            </a:solidFill>
          </a:ln>
          <a:effectLst/>
        </c:spPr>
      </c:pivotFmt>
      <c:pivotFmt>
        <c:idx val="6"/>
        <c:spPr>
          <a:solidFill>
            <a:srgbClr val="0070C0"/>
          </a:solidFill>
          <a:ln w="19050">
            <a:solidFill>
              <a:schemeClr val="lt1"/>
            </a:solidFill>
          </a:ln>
          <a:effectLst/>
        </c:spPr>
      </c:pivotFmt>
      <c:pivotFmt>
        <c:idx val="7"/>
        <c:spPr>
          <a:solidFill>
            <a:schemeClr val="bg2">
              <a:lumMod val="50000"/>
            </a:schemeClr>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w="19050">
            <a:solidFill>
              <a:schemeClr val="lt1"/>
            </a:solidFill>
          </a:ln>
          <a:effectLst/>
        </c:spPr>
        <c:dLbl>
          <c:idx val="0"/>
          <c:layout>
            <c:manualLayout>
              <c:x val="-3.0401977984105318E-2"/>
              <c:y val="0.12501447596988999"/>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70C0"/>
          </a:solidFill>
          <a:ln w="19050">
            <a:solidFill>
              <a:schemeClr val="lt1"/>
            </a:solidFill>
          </a:ln>
          <a:effectLst/>
        </c:spPr>
        <c:dLbl>
          <c:idx val="0"/>
          <c:layout>
            <c:manualLayout>
              <c:x val="-0.15435709929383756"/>
              <c:y val="-0.1601845203628643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50000"/>
            </a:schemeClr>
          </a:solidFill>
          <a:ln w="19050">
            <a:solidFill>
              <a:schemeClr val="lt1"/>
            </a:solidFill>
          </a:ln>
          <a:effectLst/>
        </c:spPr>
        <c:dLbl>
          <c:idx val="0"/>
          <c:layout>
            <c:manualLayout>
              <c:x val="7.726882693050767E-2"/>
              <c:y val="4.878942289133372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0.66549874965346967"/>
          <c:h val="1"/>
        </c:manualLayout>
      </c:layout>
      <c:pieChart>
        <c:varyColors val="1"/>
        <c:ser>
          <c:idx val="0"/>
          <c:order val="0"/>
          <c:tx>
            <c:strRef>
              <c:f>Charts!$B$39</c:f>
              <c:strCache>
                <c:ptCount val="1"/>
                <c:pt idx="0">
                  <c:v>Total</c:v>
                </c:pt>
              </c:strCache>
            </c:strRef>
          </c:tx>
          <c:spPr>
            <a:solidFill>
              <a:schemeClr val="accent6"/>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1-91DB-4625-B351-AB3DD23BD46E}"/>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91DB-4625-B351-AB3DD23BD46E}"/>
              </c:ext>
            </c:extLst>
          </c:dPt>
          <c:dPt>
            <c:idx val="2"/>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5-91DB-4625-B351-AB3DD23BD46E}"/>
              </c:ext>
            </c:extLst>
          </c:dPt>
          <c:dLbls>
            <c:dLbl>
              <c:idx val="0"/>
              <c:layout>
                <c:manualLayout>
                  <c:x val="-3.0401977984105318E-2"/>
                  <c:y val="0.12501447596988999"/>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1DB-4625-B351-AB3DD23BD46E}"/>
                </c:ext>
              </c:extLst>
            </c:dLbl>
            <c:dLbl>
              <c:idx val="1"/>
              <c:layout>
                <c:manualLayout>
                  <c:x val="-0.15435709929383756"/>
                  <c:y val="-0.1601845203628643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DB-4625-B351-AB3DD23BD46E}"/>
                </c:ext>
              </c:extLst>
            </c:dLbl>
            <c:dLbl>
              <c:idx val="2"/>
              <c:layout>
                <c:manualLayout>
                  <c:x val="7.726882693050767E-2"/>
                  <c:y val="4.878942289133372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DB-4625-B351-AB3DD23BD46E}"/>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Charts!$A$40:$A$43</c:f>
              <c:strCache>
                <c:ptCount val="3"/>
                <c:pt idx="0">
                  <c:v>Human Resources</c:v>
                </c:pt>
                <c:pt idx="1">
                  <c:v>Research &amp; Development</c:v>
                </c:pt>
                <c:pt idx="2">
                  <c:v>Sales</c:v>
                </c:pt>
              </c:strCache>
            </c:strRef>
          </c:cat>
          <c:val>
            <c:numRef>
              <c:f>Charts!$B$40:$B$43</c:f>
              <c:numCache>
                <c:formatCode>General</c:formatCode>
                <c:ptCount val="3"/>
                <c:pt idx="0">
                  <c:v>12</c:v>
                </c:pt>
                <c:pt idx="1">
                  <c:v>133</c:v>
                </c:pt>
                <c:pt idx="2">
                  <c:v>92</c:v>
                </c:pt>
              </c:numCache>
            </c:numRef>
          </c:val>
          <c:extLst>
            <c:ext xmlns:c16="http://schemas.microsoft.com/office/drawing/2014/chart" uri="{C3380CC4-5D6E-409C-BE32-E72D297353CC}">
              <c16:uniqueId val="{00000006-91DB-4625-B351-AB3DD23BD46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2471189504410782"/>
          <c:y val="5.0227480395381142E-2"/>
          <c:w val="0.27156381065101248"/>
          <c:h val="0.5193408231640384"/>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1.xlsx]Charts!PivotTable6</c:name>
    <c:fmtId val="3"/>
  </c:pivotSource>
  <c:chart>
    <c:autoTitleDeleted val="1"/>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00950886496578"/>
          <c:y val="3.1352449068755159E-2"/>
          <c:w val="0.84139385936050759"/>
          <c:h val="0.81469845790384954"/>
        </c:manualLayout>
      </c:layout>
      <c:barChart>
        <c:barDir val="col"/>
        <c:grouping val="clustered"/>
        <c:varyColors val="0"/>
        <c:ser>
          <c:idx val="0"/>
          <c:order val="0"/>
          <c:tx>
            <c:strRef>
              <c:f>Charts!$B$57</c:f>
              <c:strCache>
                <c:ptCount val="1"/>
                <c:pt idx="0">
                  <c:v>Total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Charts!$A$58:$A$63</c:f>
              <c:strCache>
                <c:ptCount val="5"/>
                <c:pt idx="0">
                  <c:v>25-34</c:v>
                </c:pt>
                <c:pt idx="1">
                  <c:v>35-44</c:v>
                </c:pt>
                <c:pt idx="2">
                  <c:v>UNDER 25</c:v>
                </c:pt>
                <c:pt idx="3">
                  <c:v>45-54</c:v>
                </c:pt>
                <c:pt idx="4">
                  <c:v>OVER 55</c:v>
                </c:pt>
              </c:strCache>
            </c:strRef>
          </c:cat>
          <c:val>
            <c:numRef>
              <c:f>Charts!$B$58:$B$63</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974E-4624-9AF6-92072B848473}"/>
            </c:ext>
          </c:extLst>
        </c:ser>
        <c:dLbls>
          <c:dLblPos val="outEnd"/>
          <c:showLegendKey val="0"/>
          <c:showVal val="1"/>
          <c:showCatName val="0"/>
          <c:showSerName val="0"/>
          <c:showPercent val="0"/>
          <c:showBubbleSize val="0"/>
        </c:dLbls>
        <c:gapWidth val="104"/>
        <c:overlap val="-100"/>
        <c:axId val="1650462351"/>
        <c:axId val="1650470511"/>
      </c:barChart>
      <c:catAx>
        <c:axId val="165046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50470511"/>
        <c:crosses val="autoZero"/>
        <c:auto val="1"/>
        <c:lblAlgn val="ctr"/>
        <c:lblOffset val="100"/>
        <c:noMultiLvlLbl val="0"/>
      </c:catAx>
      <c:valAx>
        <c:axId val="1650470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crossAx val="165046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7.498055555555555E-2"/>
          <c:w val="1"/>
          <c:h val="0.87144305555555557"/>
        </c:manualLayout>
      </c:layout>
      <c:barChart>
        <c:barDir val="bar"/>
        <c:grouping val="stacked"/>
        <c:varyColors val="0"/>
        <c:ser>
          <c:idx val="0"/>
          <c:order val="0"/>
          <c:spPr>
            <a:solidFill>
              <a:schemeClr val="accent2">
                <a:lumMod val="50000"/>
              </a:schemeClr>
            </a:solidFill>
            <a:ln>
              <a:noFill/>
            </a:ln>
            <a:effectLst/>
          </c:spPr>
          <c:invertIfNegative val="0"/>
          <c:val>
            <c:numRef>
              <c:f>rating!$C$9</c:f>
              <c:numCache>
                <c:formatCode>0.0</c:formatCode>
                <c:ptCount val="1"/>
                <c:pt idx="0">
                  <c:v>2.7285714285714286</c:v>
                </c:pt>
              </c:numCache>
            </c:numRef>
          </c:val>
          <c:extLst>
            <c:ext xmlns:c16="http://schemas.microsoft.com/office/drawing/2014/chart" uri="{C3380CC4-5D6E-409C-BE32-E72D297353CC}">
              <c16:uniqueId val="{00000000-5BF2-46DB-9F5E-938A4F812BD1}"/>
            </c:ext>
          </c:extLst>
        </c:ser>
        <c:ser>
          <c:idx val="1"/>
          <c:order val="1"/>
          <c:spPr>
            <a:solidFill>
              <a:schemeClr val="bg1"/>
            </a:solidFill>
            <a:ln>
              <a:noFill/>
            </a:ln>
            <a:effectLst/>
          </c:spPr>
          <c:invertIfNegative val="0"/>
          <c:val>
            <c:numRef>
              <c:f>rating!$C$10</c:f>
              <c:numCache>
                <c:formatCode>General</c:formatCode>
                <c:ptCount val="1"/>
                <c:pt idx="0">
                  <c:v>1.2714285714285714</c:v>
                </c:pt>
              </c:numCache>
            </c:numRef>
          </c:val>
          <c:extLst>
            <c:ext xmlns:c16="http://schemas.microsoft.com/office/drawing/2014/chart" uri="{C3380CC4-5D6E-409C-BE32-E72D297353CC}">
              <c16:uniqueId val="{00000001-5BF2-46DB-9F5E-938A4F812BD1}"/>
            </c:ext>
          </c:extLst>
        </c:ser>
        <c:dLbls>
          <c:showLegendKey val="0"/>
          <c:showVal val="0"/>
          <c:showCatName val="0"/>
          <c:showSerName val="0"/>
          <c:showPercent val="0"/>
          <c:showBubbleSize val="0"/>
        </c:dLbls>
        <c:gapWidth val="90"/>
        <c:overlap val="100"/>
        <c:axId val="1466257184"/>
        <c:axId val="1466253344"/>
      </c:barChart>
      <c:catAx>
        <c:axId val="1466257184"/>
        <c:scaling>
          <c:orientation val="minMax"/>
        </c:scaling>
        <c:delete val="1"/>
        <c:axPos val="l"/>
        <c:numFmt formatCode="General" sourceLinked="1"/>
        <c:majorTickMark val="none"/>
        <c:minorTickMark val="none"/>
        <c:tickLblPos val="nextTo"/>
        <c:crossAx val="1466253344"/>
        <c:crosses val="autoZero"/>
        <c:auto val="1"/>
        <c:lblAlgn val="ctr"/>
        <c:lblOffset val="100"/>
        <c:noMultiLvlLbl val="0"/>
      </c:catAx>
      <c:valAx>
        <c:axId val="1466253344"/>
        <c:scaling>
          <c:orientation val="minMax"/>
        </c:scaling>
        <c:delete val="1"/>
        <c:axPos val="b"/>
        <c:numFmt formatCode="0.0" sourceLinked="1"/>
        <c:majorTickMark val="none"/>
        <c:minorTickMark val="none"/>
        <c:tickLblPos val="nextTo"/>
        <c:crossAx val="146625718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52587675352424"/>
          <c:y val="9.5838263113214479E-3"/>
          <c:w val="0.8072582183402589"/>
          <c:h val="1"/>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CF-426E-A9EF-4D4E6D2703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CF-426E-A9EF-4D4E6D270328}"/>
              </c:ext>
            </c:extLst>
          </c:dPt>
          <c:val>
            <c:numRef>
              <c:f>rating!$D$9:$D$10</c:f>
              <c:numCache>
                <c:formatCode>General</c:formatCode>
                <c:ptCount val="2"/>
                <c:pt idx="0">
                  <c:v>0.68214285714285716</c:v>
                </c:pt>
                <c:pt idx="1">
                  <c:v>0.31785714285714284</c:v>
                </c:pt>
              </c:numCache>
            </c:numRef>
          </c:val>
          <c:extLst>
            <c:ext xmlns:c16="http://schemas.microsoft.com/office/drawing/2014/chart" uri="{C3380CC4-5D6E-409C-BE32-E72D297353CC}">
              <c16:uniqueId val="{00000004-E9CF-426E-A9EF-4D4E6D270328}"/>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4C226E3E-BE2F-4815-AD65-BFCA0A73FB2D}">
          <cx:tx>
            <cx:txData>
              <cx:f>_xlchart.v2.1</cx:f>
              <cx:v>count</cx:v>
            </cx:txData>
          </cx:tx>
          <cx:spPr>
            <a:solidFill>
              <a:schemeClr val="accent6"/>
            </a:solidFill>
          </cx:spPr>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D3A492FC-9732-4F5D-A724-7CCA92BA80F3}">
          <cx:tx>
            <cx:txData>
              <cx:f>_xlchart.v1.4</cx:f>
              <cx:v>count</cx:v>
            </cx:txData>
          </cx:tx>
          <cx:dataLabels>
            <cx:txPr>
              <a:bodyPr spcFirstLastPara="1" vertOverflow="ellipsis" horzOverflow="overflow" wrap="square" lIns="38100" tIns="19050" rIns="38100" bIns="19050" anchor="ctr" anchorCtr="1">
                <a:spAutoFit/>
              </a:bodyPr>
              <a:lstStyle/>
              <a:p>
                <a:pPr algn="ctr" rtl="0">
                  <a:defRPr sz="900" b="1">
                    <a:solidFill>
                      <a:schemeClr val="bg1"/>
                    </a:solidFill>
                  </a:defRPr>
                </a:pPr>
                <a:endParaRPr lang="en-US" sz="900" b="1" i="0" u="none" strike="noStrike" baseline="0">
                  <a:solidFill>
                    <a:schemeClr val="bg1"/>
                  </a:solidFill>
                  <a:latin typeface="Aptos Narrow" panose="02110004020202020204"/>
                </a:endParaRPr>
              </a:p>
            </cx:txPr>
            <cx:visibility seriesName="0" categoryName="1" value="0"/>
            <cx:dataLabel idx="2">
              <cx:txPr>
                <a:bodyPr spcFirstLastPara="1" vertOverflow="ellipsis" horzOverflow="overflow" wrap="square" lIns="38100" tIns="19050" rIns="38100" bIns="19050" anchor="ctr" anchorCtr="1">
                  <a:spAutoFit/>
                </a:bodyPr>
                <a:lstStyle/>
                <a:p>
                  <a:pPr algn="ctr" rtl="0">
                    <a:defRPr sz="900"/>
                  </a:pPr>
                  <a:r>
                    <a:rPr lang="en-US" sz="900" b="1" i="0" u="none" strike="noStrike" baseline="0">
                      <a:solidFill>
                        <a:schemeClr val="bg1"/>
                      </a:solidFill>
                      <a:latin typeface="Aptos Narrow" panose="02110004020202020204"/>
                    </a:rPr>
                    <a:t>Laboratory Technician</a:t>
                  </a:r>
                </a:p>
              </cx:txPr>
              <cx:visibility seriesName="0" categoryName="1" value="0"/>
            </cx:dataLabel>
            <cx:dataLabel idx="4">
              <cx:txPr>
                <a:bodyPr spcFirstLastPara="1" vertOverflow="ellipsis" horzOverflow="overflow" wrap="square" lIns="38100" tIns="19050" rIns="38100" bIns="19050" anchor="ctr" anchorCtr="1">
                  <a:spAutoFit/>
                </a:bodyPr>
                <a:lstStyle/>
                <a:p>
                  <a:pPr algn="ctr" rtl="0">
                    <a:defRPr/>
                  </a:pPr>
                  <a:r>
                    <a:rPr lang="en-US" sz="1000" b="1" i="0" u="none" strike="noStrike" baseline="0">
                      <a:solidFill>
                        <a:schemeClr val="bg1"/>
                      </a:solidFill>
                      <a:latin typeface="Aptos Narrow" panose="02110004020202020204"/>
                    </a:rPr>
                    <a:t>Manufacturing Director</a:t>
                  </a:r>
                </a:p>
              </cx:txPr>
              <cx:visibility seriesName="0" categoryName="1" value="0"/>
              <cx:separator>, </cx:separator>
            </cx:dataLabel>
          </cx:dataLabels>
          <cx:dataId val="0"/>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plotArea>
      <cx:plotAreaRegion>
        <cx:series layoutId="funnel" uniqueId="{4C226E3E-BE2F-4815-AD65-BFCA0A73FB2D}">
          <cx:tx>
            <cx:txData>
              <cx:f>_xlchart.v2.7</cx:f>
              <cx:v>count</cx:v>
            </cx:txData>
          </cx:tx>
          <cx:spPr>
            <a:solidFill>
              <a:schemeClr val="accent6"/>
            </a:solidFill>
          </cx:spPr>
          <cx:dataLabels>
            <cx:txPr>
              <a:bodyPr spcFirstLastPara="1" vertOverflow="ellipsis" horzOverflow="overflow" wrap="square" lIns="0" tIns="0" rIns="0" bIns="0" anchor="ctr" anchorCtr="1"/>
              <a:lstStyle/>
              <a:p>
                <a:pPr algn="ctr" rtl="0">
                  <a:defRPr sz="1600" b="1">
                    <a:solidFill>
                      <a:schemeClr val="bg1"/>
                    </a:solidFill>
                  </a:defRPr>
                </a:pPr>
                <a:endParaRPr lang="en-US" sz="1600" b="1" i="0" u="none" strike="noStrike" baseline="0">
                  <a:solidFill>
                    <a:schemeClr val="bg1"/>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100" b="1">
                <a:solidFill>
                  <a:schemeClr val="tx1"/>
                </a:solidFill>
              </a:defRPr>
            </a:pPr>
            <a:endParaRPr lang="en-US" sz="1100" b="1" i="0" u="none" strike="noStrike" baseline="0">
              <a:solidFill>
                <a:schemeClr val="tx1"/>
              </a:solidFill>
              <a:latin typeface="Aptos Narrow" panose="02110004020202020204"/>
            </a:endParaRPr>
          </a:p>
        </cx:txPr>
      </cx:axis>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_xlchart.v1.11</cx:f>
      </cx:numDim>
    </cx:data>
  </cx:chartData>
  <cx:chart>
    <cx:plotArea>
      <cx:plotAreaRegion>
        <cx:series layoutId="treemap" uniqueId="{D3A492FC-9732-4F5D-A724-7CCA92BA80F3}">
          <cx:tx>
            <cx:txData>
              <cx:f>_xlchart.v1.10</cx:f>
              <cx:v>count</cx:v>
            </cx:txData>
          </cx:tx>
          <cx:dataLabels>
            <cx:txPr>
              <a:bodyPr spcFirstLastPara="1" vertOverflow="ellipsis" horzOverflow="overflow" wrap="square" lIns="38100" tIns="19050" rIns="38100" bIns="19050" anchor="ctr" anchorCtr="1">
                <a:spAutoFit/>
              </a:bodyPr>
              <a:lstStyle/>
              <a:p>
                <a:pPr algn="ctr" rtl="0">
                  <a:defRPr sz="800" b="1">
                    <a:solidFill>
                      <a:schemeClr val="bg1"/>
                    </a:solidFill>
                  </a:defRPr>
                </a:pPr>
                <a:endParaRPr lang="en-US" sz="800" b="1" i="0" u="none" strike="noStrike" baseline="0">
                  <a:solidFill>
                    <a:schemeClr val="bg1"/>
                  </a:solidFill>
                  <a:latin typeface="Aptos Narrow" panose="02110004020202020204"/>
                </a:endParaRPr>
              </a:p>
            </cx:txPr>
            <cx:visibility seriesName="0" categoryName="1" value="0"/>
            <cx:dataLabel idx="2">
              <cx:txPr>
                <a:bodyPr spcFirstLastPara="1" vertOverflow="ellipsis" horzOverflow="overflow" wrap="square" lIns="38100" tIns="19050" rIns="38100" bIns="19050" anchor="ctr" anchorCtr="1">
                  <a:spAutoFit/>
                </a:bodyPr>
                <a:lstStyle/>
                <a:p>
                  <a:pPr algn="ctr" rtl="0">
                    <a:defRPr sz="900"/>
                  </a:pPr>
                  <a:r>
                    <a:rPr lang="en-US" sz="900" b="1" i="0" u="none" strike="noStrike" baseline="0">
                      <a:solidFill>
                        <a:schemeClr val="bg1"/>
                      </a:solidFill>
                      <a:latin typeface="Aptos Narrow" panose="02110004020202020204"/>
                    </a:rPr>
                    <a:t>Laboratory Technician</a:t>
                  </a:r>
                </a:p>
              </cx:txPr>
              <cx:visibility seriesName="0" categoryName="1" value="0"/>
            </cx:dataLabel>
            <cx:dataLabel idx="4">
              <cx:txPr>
                <a:bodyPr spcFirstLastPara="1" vertOverflow="ellipsis" horzOverflow="overflow" wrap="square" lIns="38100" tIns="19050" rIns="38100" bIns="19050" anchor="ctr" anchorCtr="1">
                  <a:spAutoFit/>
                </a:bodyPr>
                <a:lstStyle/>
                <a:p>
                  <a:pPr algn="ctr" rtl="0">
                    <a:defRPr/>
                  </a:pPr>
                  <a:r>
                    <a:rPr lang="en-US" sz="1000" b="1" i="0" u="none" strike="noStrike" baseline="0">
                      <a:solidFill>
                        <a:schemeClr val="bg1"/>
                      </a:solidFill>
                      <a:latin typeface="Aptos Narrow" panose="02110004020202020204"/>
                    </a:rPr>
                    <a:t>Manufacturing Director</a:t>
                  </a:r>
                </a:p>
              </cx:txPr>
              <cx:visibility seriesName="0" categoryName="1" value="0"/>
              <cx:separator>, </cx:separator>
            </cx:dataLabel>
          </cx:dataLabels>
          <cx:dataId val="0"/>
          <cx:layoutPr>
            <cx:parentLabelLayout val="none"/>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4">
  <cs:axisTitle>
    <cs:lnRef idx="0"/>
    <cs:fillRef idx="0"/>
    <cs:effectRef idx="0"/>
    <cs:fontRef idx="major">
      <a:schemeClr val="dk1">
        <a:lumMod val="50000"/>
        <a:lumOff val="50000"/>
      </a:schemeClr>
    </cs:fontRef>
    <cs:spPr>
      <a:solidFill>
        <a:schemeClr val="bg1">
          <a:lumMod val="85000"/>
        </a:schemeClr>
      </a:solidFill>
      <a:ln w="19050">
        <a:solidFill>
          <a:schemeClr val="bg1"/>
        </a:solidFill>
      </a:ln>
    </cs:spPr>
    <cs:defRPr sz="900"/>
  </cs:axisTitle>
  <cs:categoryAxis>
    <cs:lnRef idx="0"/>
    <cs:fillRef idx="0"/>
    <cs:effectRef idx="0"/>
    <cs:fontRef idx="major">
      <a:schemeClr val="dk1">
        <a:lumMod val="50000"/>
        <a:lumOff val="50000"/>
      </a:schemeClr>
    </cs:fontRef>
    <cs:defRPr sz="90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cs:chartArea>
  <cs:dataLabel>
    <cs:lnRef idx="0"/>
    <cs:fillRef idx="0"/>
    <cs:effectRef idx="0"/>
    <cs:fontRef idx="minor">
      <a:schemeClr val="dk1">
        <a:lumMod val="75000"/>
        <a:lumOff val="25000"/>
      </a:schemeClr>
    </cs:fontRef>
    <cs:defRPr sz="900"/>
    <cs:bodyPr lIns="38100" tIns="19050" rIns="38100" bIns="19050">
      <a:spAutoFit/>
    </cs:bodyPr>
  </cs:dataLabel>
  <cs:dataLabelCallout>
    <cs:lnRef idx="0"/>
    <cs:fillRef idx="0"/>
    <cs:effectRef idx="0"/>
    <cs:fontRef idx="major">
      <a:schemeClr val="dk1">
        <a:lumMod val="50000"/>
        <a:lumOff val="50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9525">
        <a:solidFill>
          <a:schemeClr val="lt1"/>
        </a:solidFill>
      </a:ln>
    </cs:spPr>
  </cs:dataPoint>
  <cs:dataPoint3D>
    <cs:lnRef idx="0"/>
    <cs:fillRef idx="0">
      <cs:styleClr val="auto"/>
    </cs:fillRef>
    <cs:effectRef idx="0"/>
    <cs:fontRef idx="minor">
      <a:schemeClr val="tx1"/>
    </cs:fontRef>
    <cs:spPr>
      <a:solidFill>
        <a:schemeClr val="phClr"/>
      </a:solidFill>
      <a:ln w="9525">
        <a:solidFill>
          <a:schemeClr val="lt1"/>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ajor">
      <a:schemeClr val="dk1">
        <a:lumMod val="50000"/>
        <a:lumOff val="50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ajor">
      <a:schemeClr val="dk1">
        <a:lumMod val="50000"/>
        <a:lumOff val="50000"/>
      </a:schemeClr>
    </cs:fontRef>
    <cs:defRPr sz="1600" b="1" spc="0" normalizeH="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ajor">
      <a:schemeClr val="dk1">
        <a:lumMod val="50000"/>
        <a:lumOff val="50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ajor">
      <a:schemeClr val="dk1">
        <a:lumMod val="50000"/>
        <a:lumOff val="50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414">
  <cs:axisTitle>
    <cs:lnRef idx="0"/>
    <cs:fillRef idx="0"/>
    <cs:effectRef idx="0"/>
    <cs:fontRef idx="major">
      <a:schemeClr val="dk1">
        <a:lumMod val="50000"/>
        <a:lumOff val="50000"/>
      </a:schemeClr>
    </cs:fontRef>
    <cs:spPr>
      <a:solidFill>
        <a:schemeClr val="bg1">
          <a:lumMod val="85000"/>
        </a:schemeClr>
      </a:solidFill>
      <a:ln w="19050">
        <a:solidFill>
          <a:schemeClr val="bg1"/>
        </a:solidFill>
      </a:ln>
    </cs:spPr>
    <cs:defRPr sz="900"/>
  </cs:axisTitle>
  <cs:categoryAxis>
    <cs:lnRef idx="0"/>
    <cs:fillRef idx="0"/>
    <cs:effectRef idx="0"/>
    <cs:fontRef idx="major">
      <a:schemeClr val="dk1">
        <a:lumMod val="50000"/>
        <a:lumOff val="50000"/>
      </a:schemeClr>
    </cs:fontRef>
    <cs:defRPr sz="90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cs:chartArea>
  <cs:dataLabel>
    <cs:lnRef idx="0"/>
    <cs:fillRef idx="0"/>
    <cs:effectRef idx="0"/>
    <cs:fontRef idx="minor">
      <a:schemeClr val="dk1">
        <a:lumMod val="75000"/>
        <a:lumOff val="25000"/>
      </a:schemeClr>
    </cs:fontRef>
    <cs:defRPr sz="900"/>
    <cs:bodyPr lIns="38100" tIns="19050" rIns="38100" bIns="19050">
      <a:spAutoFit/>
    </cs:bodyPr>
  </cs:dataLabel>
  <cs:dataLabelCallout>
    <cs:lnRef idx="0"/>
    <cs:fillRef idx="0"/>
    <cs:effectRef idx="0"/>
    <cs:fontRef idx="major">
      <a:schemeClr val="dk1">
        <a:lumMod val="50000"/>
        <a:lumOff val="50000"/>
      </a:schemeClr>
    </cs:fontRef>
    <cs:spPr>
      <a:solidFill>
        <a:schemeClr val="lt1">
          <a:alpha val="75000"/>
        </a:schemeClr>
      </a:solidFill>
      <a:ln w="9525">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9525">
        <a:solidFill>
          <a:schemeClr val="lt1"/>
        </a:solidFill>
      </a:ln>
    </cs:spPr>
  </cs:dataPoint>
  <cs:dataPoint3D>
    <cs:lnRef idx="0"/>
    <cs:fillRef idx="0">
      <cs:styleClr val="auto"/>
    </cs:fillRef>
    <cs:effectRef idx="0"/>
    <cs:fontRef idx="minor">
      <a:schemeClr val="tx1"/>
    </cs:fontRef>
    <cs:spPr>
      <a:solidFill>
        <a:schemeClr val="phClr"/>
      </a:solidFill>
      <a:ln w="9525">
        <a:solidFill>
          <a:schemeClr val="lt1"/>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solidFill>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lumOff val="10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ajor">
      <a:schemeClr val="dk1">
        <a:lumMod val="50000"/>
        <a:lumOff val="50000"/>
      </a:schemeClr>
    </cs:fontRef>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ajor">
      <a:schemeClr val="dk1">
        <a:lumMod val="50000"/>
        <a:lumOff val="50000"/>
      </a:schemeClr>
    </cs:fontRef>
    <cs:defRPr sz="1600" b="1" spc="0" normalizeH="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ajor">
      <a:schemeClr val="dk1">
        <a:lumMod val="50000"/>
        <a:lumOff val="50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ajor">
      <a:schemeClr val="dk1">
        <a:lumMod val="50000"/>
        <a:lumOff val="50000"/>
      </a:schemeClr>
    </cs:fontRef>
    <cs:defRPr sz="9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2.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8" Type="http://schemas.openxmlformats.org/officeDocument/2006/relationships/chart" Target="../charts/chart8.xml"/><Relationship Id="rId13" Type="http://schemas.microsoft.com/office/2014/relationships/chartEx" Target="../charts/chartEx3.xml"/><Relationship Id="rId18" Type="http://schemas.openxmlformats.org/officeDocument/2006/relationships/image" Target="../media/image7.png"/><Relationship Id="rId3" Type="http://schemas.openxmlformats.org/officeDocument/2006/relationships/image" Target="../media/image2.png"/><Relationship Id="rId7" Type="http://schemas.openxmlformats.org/officeDocument/2006/relationships/image" Target="../media/image5.png"/><Relationship Id="rId12" Type="http://schemas.openxmlformats.org/officeDocument/2006/relationships/chart" Target="../charts/chart12.xml"/><Relationship Id="rId17" Type="http://schemas.openxmlformats.org/officeDocument/2006/relationships/chart" Target="../charts/chart14.xml"/><Relationship Id="rId2" Type="http://schemas.microsoft.com/office/2007/relationships/hdphoto" Target="../media/hdphoto1.wdp"/><Relationship Id="rId16" Type="http://schemas.openxmlformats.org/officeDocument/2006/relationships/image" Target="../media/image6.png"/><Relationship Id="rId1" Type="http://schemas.openxmlformats.org/officeDocument/2006/relationships/image" Target="../media/image1.png"/><Relationship Id="rId6" Type="http://schemas.openxmlformats.org/officeDocument/2006/relationships/image" Target="../media/image4.png"/><Relationship Id="rId11" Type="http://schemas.openxmlformats.org/officeDocument/2006/relationships/chart" Target="../charts/chart11.xml"/><Relationship Id="rId5" Type="http://schemas.openxmlformats.org/officeDocument/2006/relationships/image" Target="../media/image3.png"/><Relationship Id="rId15" Type="http://schemas.openxmlformats.org/officeDocument/2006/relationships/chart" Target="../charts/chart13.xml"/><Relationship Id="rId10" Type="http://schemas.openxmlformats.org/officeDocument/2006/relationships/chart" Target="../charts/chart10.xml"/><Relationship Id="rId19" Type="http://schemas.openxmlformats.org/officeDocument/2006/relationships/image" Target="../media/image8.png"/><Relationship Id="rId4" Type="http://schemas.microsoft.com/office/2007/relationships/hdphoto" Target="../media/hdphoto2.wdp"/><Relationship Id="rId9" Type="http://schemas.openxmlformats.org/officeDocument/2006/relationships/chart" Target="../charts/chart9.xml"/><Relationship Id="rId14"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3</xdr:col>
      <xdr:colOff>134937</xdr:colOff>
      <xdr:row>2</xdr:row>
      <xdr:rowOff>134939</xdr:rowOff>
    </xdr:from>
    <xdr:to>
      <xdr:col>5</xdr:col>
      <xdr:colOff>278812</xdr:colOff>
      <xdr:row>12</xdr:row>
      <xdr:rowOff>109314</xdr:rowOff>
    </xdr:to>
    <xdr:graphicFrame macro="">
      <xdr:nvGraphicFramePr>
        <xdr:cNvPr id="2" name="Chart 1">
          <a:extLst>
            <a:ext uri="{FF2B5EF4-FFF2-40B4-BE49-F238E27FC236}">
              <a16:creationId xmlns:a16="http://schemas.microsoft.com/office/drawing/2014/main" id="{3903B6F7-6C3D-4D88-58DA-01DB0C91D5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106680</xdr:colOff>
      <xdr:row>19</xdr:row>
      <xdr:rowOff>7620</xdr:rowOff>
    </xdr:from>
    <xdr:to>
      <xdr:col>8</xdr:col>
      <xdr:colOff>15240</xdr:colOff>
      <xdr:row>32</xdr:row>
      <xdr:rowOff>99060</xdr:rowOff>
    </xdr:to>
    <xdr:graphicFrame macro="">
      <xdr:nvGraphicFramePr>
        <xdr:cNvPr id="3" name="Chart 2">
          <a:extLst>
            <a:ext uri="{FF2B5EF4-FFF2-40B4-BE49-F238E27FC236}">
              <a16:creationId xmlns:a16="http://schemas.microsoft.com/office/drawing/2014/main" id="{E0AD71C9-0C41-7050-8267-58C3220119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60960</xdr:colOff>
      <xdr:row>37</xdr:row>
      <xdr:rowOff>167640</xdr:rowOff>
    </xdr:from>
    <xdr:to>
      <xdr:col>6</xdr:col>
      <xdr:colOff>441960</xdr:colOff>
      <xdr:row>49</xdr:row>
      <xdr:rowOff>129540</xdr:rowOff>
    </xdr:to>
    <xdr:graphicFrame macro="">
      <xdr:nvGraphicFramePr>
        <xdr:cNvPr id="4" name="Chart 3">
          <a:extLst>
            <a:ext uri="{FF2B5EF4-FFF2-40B4-BE49-F238E27FC236}">
              <a16:creationId xmlns:a16="http://schemas.microsoft.com/office/drawing/2014/main" id="{4BFE457A-06F6-60F0-F179-EB89BFAC6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99060</xdr:colOff>
      <xdr:row>55</xdr:row>
      <xdr:rowOff>175260</xdr:rowOff>
    </xdr:from>
    <xdr:to>
      <xdr:col>7</xdr:col>
      <xdr:colOff>281940</xdr:colOff>
      <xdr:row>66</xdr:row>
      <xdr:rowOff>99060</xdr:rowOff>
    </xdr:to>
    <xdr:graphicFrame macro="">
      <xdr:nvGraphicFramePr>
        <xdr:cNvPr id="5" name="Chart 4">
          <a:extLst>
            <a:ext uri="{FF2B5EF4-FFF2-40B4-BE49-F238E27FC236}">
              <a16:creationId xmlns:a16="http://schemas.microsoft.com/office/drawing/2014/main" id="{24AE0564-93EF-1663-206A-67BE8C9EA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190500</xdr:colOff>
      <xdr:row>77</xdr:row>
      <xdr:rowOff>64770</xdr:rowOff>
    </xdr:from>
    <xdr:to>
      <xdr:col>8</xdr:col>
      <xdr:colOff>175260</xdr:colOff>
      <xdr:row>90</xdr:row>
      <xdr:rowOff>160020</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A0ED3D0B-0C96-B4C7-B373-04822429A00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781300" y="14146530"/>
              <a:ext cx="4358640" cy="24726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1512277</xdr:colOff>
      <xdr:row>108</xdr:row>
      <xdr:rowOff>62425</xdr:rowOff>
    </xdr:from>
    <xdr:to>
      <xdr:col>8</xdr:col>
      <xdr:colOff>82061</xdr:colOff>
      <xdr:row>123</xdr:row>
      <xdr:rowOff>62426</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6CBBD7B0-3FCD-C03B-3222-AA09E2C7C63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2594317" y="19813465"/>
              <a:ext cx="4452424" cy="274320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10</xdr:col>
      <xdr:colOff>3025</xdr:colOff>
      <xdr:row>8</xdr:row>
      <xdr:rowOff>101518</xdr:rowOff>
    </xdr:from>
    <xdr:to>
      <xdr:col>13</xdr:col>
      <xdr:colOff>589</xdr:colOff>
      <xdr:row>13</xdr:row>
      <xdr:rowOff>18580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0B967F5F-ADAD-925D-9AE0-9B78C3352CF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337400" y="1549318"/>
              <a:ext cx="1825713" cy="8219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31750</xdr:colOff>
      <xdr:row>2</xdr:row>
      <xdr:rowOff>132555</xdr:rowOff>
    </xdr:from>
    <xdr:to>
      <xdr:col>9</xdr:col>
      <xdr:colOff>358188</xdr:colOff>
      <xdr:row>12</xdr:row>
      <xdr:rowOff>106930</xdr:rowOff>
    </xdr:to>
    <xdr:graphicFrame macro="">
      <xdr:nvGraphicFramePr>
        <xdr:cNvPr id="9" name="Chart 8">
          <a:extLst>
            <a:ext uri="{FF2B5EF4-FFF2-40B4-BE49-F238E27FC236}">
              <a16:creationId xmlns:a16="http://schemas.microsoft.com/office/drawing/2014/main" id="{6F3E3680-48B7-DA40-7A9E-1553C072FC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9</xdr:col>
      <xdr:colOff>600826</xdr:colOff>
      <xdr:row>14</xdr:row>
      <xdr:rowOff>693</xdr:rowOff>
    </xdr:from>
    <xdr:to>
      <xdr:col>13</xdr:col>
      <xdr:colOff>640</xdr:colOff>
      <xdr:row>21</xdr:row>
      <xdr:rowOff>127000</xdr:rowOff>
    </xdr:to>
    <mc:AlternateContent xmlns:mc="http://schemas.openxmlformats.org/markup-compatibility/2006" xmlns:a14="http://schemas.microsoft.com/office/drawing/2010/main">
      <mc:Choice Requires="a14">
        <xdr:graphicFrame macro="">
          <xdr:nvGraphicFramePr>
            <xdr:cNvPr id="10" name="Department">
              <a:extLst>
                <a:ext uri="{FF2B5EF4-FFF2-40B4-BE49-F238E27FC236}">
                  <a16:creationId xmlns:a16="http://schemas.microsoft.com/office/drawing/2014/main" id="{CCE7EA6B-EF57-9B5B-E9C8-79E601B773F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325601" y="2534343"/>
              <a:ext cx="1838214" cy="1393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595609</xdr:colOff>
      <xdr:row>22</xdr:row>
      <xdr:rowOff>8285</xdr:rowOff>
    </xdr:from>
    <xdr:to>
      <xdr:col>13</xdr:col>
      <xdr:colOff>2427</xdr:colOff>
      <xdr:row>33</xdr:row>
      <xdr:rowOff>92111</xdr:rowOff>
    </xdr:to>
    <mc:AlternateContent xmlns:mc="http://schemas.openxmlformats.org/markup-compatibility/2006" xmlns:a14="http://schemas.microsoft.com/office/drawing/2010/main">
      <mc:Choice Requires="a14">
        <xdr:graphicFrame macro="">
          <xdr:nvGraphicFramePr>
            <xdr:cNvPr id="12" name="EducationField">
              <a:extLst>
                <a:ext uri="{FF2B5EF4-FFF2-40B4-BE49-F238E27FC236}">
                  <a16:creationId xmlns:a16="http://schemas.microsoft.com/office/drawing/2014/main" id="{82A61724-4E9F-F0E5-1C45-A825BB1AE326}"/>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8320384" y="3989735"/>
              <a:ext cx="1845218" cy="2074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571500</xdr:colOff>
      <xdr:row>11</xdr:row>
      <xdr:rowOff>133350</xdr:rowOff>
    </xdr:from>
    <xdr:to>
      <xdr:col>4</xdr:col>
      <xdr:colOff>15240</xdr:colOff>
      <xdr:row>20</xdr:row>
      <xdr:rowOff>106680</xdr:rowOff>
    </xdr:to>
    <xdr:graphicFrame macro="">
      <xdr:nvGraphicFramePr>
        <xdr:cNvPr id="2" name="Chart 1">
          <a:extLst>
            <a:ext uri="{FF2B5EF4-FFF2-40B4-BE49-F238E27FC236}">
              <a16:creationId xmlns:a16="http://schemas.microsoft.com/office/drawing/2014/main" id="{AA53DFC8-97AB-EEF3-45B8-E54B05E1E7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327660</xdr:colOff>
      <xdr:row>2</xdr:row>
      <xdr:rowOff>57150</xdr:rowOff>
    </xdr:from>
    <xdr:to>
      <xdr:col>12</xdr:col>
      <xdr:colOff>297180</xdr:colOff>
      <xdr:row>10</xdr:row>
      <xdr:rowOff>68580</xdr:rowOff>
    </xdr:to>
    <xdr:graphicFrame macro="">
      <xdr:nvGraphicFramePr>
        <xdr:cNvPr id="3" name="Chart 2">
          <a:extLst>
            <a:ext uri="{FF2B5EF4-FFF2-40B4-BE49-F238E27FC236}">
              <a16:creationId xmlns:a16="http://schemas.microsoft.com/office/drawing/2014/main" id="{BFB41598-F5AA-9387-0128-380AB4E828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37630</xdr:colOff>
      <xdr:row>4</xdr:row>
      <xdr:rowOff>28222</xdr:rowOff>
    </xdr:from>
    <xdr:to>
      <xdr:col>28</xdr:col>
      <xdr:colOff>457623</xdr:colOff>
      <xdr:row>56</xdr:row>
      <xdr:rowOff>28306</xdr:rowOff>
    </xdr:to>
    <xdr:sp macro="" textlink="">
      <xdr:nvSpPr>
        <xdr:cNvPr id="2" name="Rectangle: Rounded Corners 1">
          <a:extLst>
            <a:ext uri="{FF2B5EF4-FFF2-40B4-BE49-F238E27FC236}">
              <a16:creationId xmlns:a16="http://schemas.microsoft.com/office/drawing/2014/main" id="{0C2CF9E6-2CFE-4C1E-813B-2F6D2444E2CE}"/>
            </a:ext>
          </a:extLst>
        </xdr:cNvPr>
        <xdr:cNvSpPr/>
      </xdr:nvSpPr>
      <xdr:spPr>
        <a:xfrm>
          <a:off x="1877581" y="771637"/>
          <a:ext cx="15752920" cy="9664474"/>
        </a:xfrm>
        <a:prstGeom prst="roundRect">
          <a:avLst>
            <a:gd name="adj" fmla="val 2725"/>
          </a:avLst>
        </a:prstGeom>
        <a:solidFill>
          <a:schemeClr val="accent4"/>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181514</xdr:colOff>
      <xdr:row>4</xdr:row>
      <xdr:rowOff>169837</xdr:rowOff>
    </xdr:from>
    <xdr:to>
      <xdr:col>18</xdr:col>
      <xdr:colOff>73233</xdr:colOff>
      <xdr:row>12</xdr:row>
      <xdr:rowOff>31686</xdr:rowOff>
    </xdr:to>
    <xdr:sp macro="" textlink="">
      <xdr:nvSpPr>
        <xdr:cNvPr id="3" name="Rectangle: Rounded Corners 2" descr="zxzxz">
          <a:extLst>
            <a:ext uri="{FF2B5EF4-FFF2-40B4-BE49-F238E27FC236}">
              <a16:creationId xmlns:a16="http://schemas.microsoft.com/office/drawing/2014/main" id="{154463A4-D4F1-41D8-A603-030F77876876}"/>
            </a:ext>
          </a:extLst>
        </xdr:cNvPr>
        <xdr:cNvSpPr/>
      </xdr:nvSpPr>
      <xdr:spPr>
        <a:xfrm>
          <a:off x="2021465" y="913252"/>
          <a:ext cx="9091475" cy="13486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aseline="0">
              <a:solidFill>
                <a:schemeClr val="tx1"/>
              </a:solidFill>
            </a:rPr>
            <a:t> </a:t>
          </a:r>
          <a:endParaRPr lang="en-IN" sz="5000">
            <a:solidFill>
              <a:schemeClr val="tx1"/>
            </a:solidFill>
          </a:endParaRPr>
        </a:p>
      </xdr:txBody>
    </xdr:sp>
    <xdr:clientData/>
  </xdr:twoCellAnchor>
  <xdr:twoCellAnchor>
    <xdr:from>
      <xdr:col>18</xdr:col>
      <xdr:colOff>188148</xdr:colOff>
      <xdr:row>4</xdr:row>
      <xdr:rowOff>167457</xdr:rowOff>
    </xdr:from>
    <xdr:to>
      <xdr:col>28</xdr:col>
      <xdr:colOff>71549</xdr:colOff>
      <xdr:row>12</xdr:row>
      <xdr:rowOff>29306</xdr:rowOff>
    </xdr:to>
    <xdr:sp macro="" textlink="">
      <xdr:nvSpPr>
        <xdr:cNvPr id="4" name="Rectangle: Rounded Corners 3">
          <a:extLst>
            <a:ext uri="{FF2B5EF4-FFF2-40B4-BE49-F238E27FC236}">
              <a16:creationId xmlns:a16="http://schemas.microsoft.com/office/drawing/2014/main" id="{2C46E1A6-B2CA-49EB-A24A-03AD1DAECEA4}"/>
            </a:ext>
          </a:extLst>
        </xdr:cNvPr>
        <xdr:cNvSpPr/>
      </xdr:nvSpPr>
      <xdr:spPr>
        <a:xfrm>
          <a:off x="11227855" y="910872"/>
          <a:ext cx="6016572" cy="134867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181514</xdr:colOff>
      <xdr:row>13</xdr:row>
      <xdr:rowOff>53048</xdr:rowOff>
    </xdr:from>
    <xdr:to>
      <xdr:col>8</xdr:col>
      <xdr:colOff>23039</xdr:colOff>
      <xdr:row>19</xdr:row>
      <xdr:rowOff>89620</xdr:rowOff>
    </xdr:to>
    <xdr:sp macro="" textlink="">
      <xdr:nvSpPr>
        <xdr:cNvPr id="5" name="Rectangle: Rounded Corners 4">
          <a:extLst>
            <a:ext uri="{FF2B5EF4-FFF2-40B4-BE49-F238E27FC236}">
              <a16:creationId xmlns:a16="http://schemas.microsoft.com/office/drawing/2014/main" id="{4A076931-740E-48BC-874D-DE6AD50978AD}"/>
            </a:ext>
          </a:extLst>
        </xdr:cNvPr>
        <xdr:cNvSpPr/>
      </xdr:nvSpPr>
      <xdr:spPr>
        <a:xfrm>
          <a:off x="2005177" y="2390419"/>
          <a:ext cx="2880963" cy="111535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230024</xdr:colOff>
      <xdr:row>13</xdr:row>
      <xdr:rowOff>53048</xdr:rowOff>
    </xdr:from>
    <xdr:to>
      <xdr:col>28</xdr:col>
      <xdr:colOff>71549</xdr:colOff>
      <xdr:row>19</xdr:row>
      <xdr:rowOff>89620</xdr:rowOff>
    </xdr:to>
    <xdr:sp macro="" textlink="">
      <xdr:nvSpPr>
        <xdr:cNvPr id="6" name="Rectangle: Rounded Corners 5">
          <a:extLst>
            <a:ext uri="{FF2B5EF4-FFF2-40B4-BE49-F238E27FC236}">
              <a16:creationId xmlns:a16="http://schemas.microsoft.com/office/drawing/2014/main" id="{3C7A9D6E-FC20-4CFC-B135-4CAF52B1ED97}"/>
            </a:ext>
          </a:extLst>
        </xdr:cNvPr>
        <xdr:cNvSpPr/>
      </xdr:nvSpPr>
      <xdr:spPr>
        <a:xfrm>
          <a:off x="14211440" y="2390419"/>
          <a:ext cx="2880963" cy="111535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233121</xdr:colOff>
      <xdr:row>13</xdr:row>
      <xdr:rowOff>53048</xdr:rowOff>
    </xdr:from>
    <xdr:to>
      <xdr:col>23</xdr:col>
      <xdr:colOff>74646</xdr:colOff>
      <xdr:row>19</xdr:row>
      <xdr:rowOff>89620</xdr:rowOff>
    </xdr:to>
    <xdr:sp macro="" textlink="">
      <xdr:nvSpPr>
        <xdr:cNvPr id="7" name="Rectangle: Rounded Corners 6">
          <a:extLst>
            <a:ext uri="{FF2B5EF4-FFF2-40B4-BE49-F238E27FC236}">
              <a16:creationId xmlns:a16="http://schemas.microsoft.com/office/drawing/2014/main" id="{773FB527-63E0-484F-B548-56C37D9ABDC9}"/>
            </a:ext>
          </a:extLst>
        </xdr:cNvPr>
        <xdr:cNvSpPr/>
      </xdr:nvSpPr>
      <xdr:spPr>
        <a:xfrm>
          <a:off x="11205921" y="2430488"/>
          <a:ext cx="2889525" cy="1133852"/>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251576</xdr:colOff>
      <xdr:row>13</xdr:row>
      <xdr:rowOff>53048</xdr:rowOff>
    </xdr:from>
    <xdr:to>
      <xdr:col>18</xdr:col>
      <xdr:colOff>93101</xdr:colOff>
      <xdr:row>19</xdr:row>
      <xdr:rowOff>89620</xdr:rowOff>
    </xdr:to>
    <xdr:sp macro="" textlink="">
      <xdr:nvSpPr>
        <xdr:cNvPr id="8" name="Rectangle: Rounded Corners 7">
          <a:extLst>
            <a:ext uri="{FF2B5EF4-FFF2-40B4-BE49-F238E27FC236}">
              <a16:creationId xmlns:a16="http://schemas.microsoft.com/office/drawing/2014/main" id="{ACFAA29D-5EFC-4EEF-9A18-DD8AB6C69D94}"/>
            </a:ext>
          </a:extLst>
        </xdr:cNvPr>
        <xdr:cNvSpPr/>
      </xdr:nvSpPr>
      <xdr:spPr>
        <a:xfrm>
          <a:off x="8176376" y="2430488"/>
          <a:ext cx="2889525" cy="1133852"/>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270030</xdr:colOff>
      <xdr:row>13</xdr:row>
      <xdr:rowOff>53048</xdr:rowOff>
    </xdr:from>
    <xdr:to>
      <xdr:col>13</xdr:col>
      <xdr:colOff>111555</xdr:colOff>
      <xdr:row>19</xdr:row>
      <xdr:rowOff>89620</xdr:rowOff>
    </xdr:to>
    <xdr:sp macro="" textlink="">
      <xdr:nvSpPr>
        <xdr:cNvPr id="9" name="Rectangle: Rounded Corners 8">
          <a:extLst>
            <a:ext uri="{FF2B5EF4-FFF2-40B4-BE49-F238E27FC236}">
              <a16:creationId xmlns:a16="http://schemas.microsoft.com/office/drawing/2014/main" id="{9AFBE2C9-5CB7-472E-90CB-D98BD1382C35}"/>
            </a:ext>
          </a:extLst>
        </xdr:cNvPr>
        <xdr:cNvSpPr/>
      </xdr:nvSpPr>
      <xdr:spPr>
        <a:xfrm>
          <a:off x="5146830" y="2430488"/>
          <a:ext cx="2889525" cy="1133852"/>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181514</xdr:colOff>
      <xdr:row>20</xdr:row>
      <xdr:rowOff>139425</xdr:rowOff>
    </xdr:from>
    <xdr:to>
      <xdr:col>11</xdr:col>
      <xdr:colOff>200573</xdr:colOff>
      <xdr:row>35</xdr:row>
      <xdr:rowOff>71592</xdr:rowOff>
    </xdr:to>
    <xdr:sp macro="" textlink="">
      <xdr:nvSpPr>
        <xdr:cNvPr id="10" name="Rectangle: Rounded Corners 9">
          <a:extLst>
            <a:ext uri="{FF2B5EF4-FFF2-40B4-BE49-F238E27FC236}">
              <a16:creationId xmlns:a16="http://schemas.microsoft.com/office/drawing/2014/main" id="{3F04B39C-F250-4257-ABCB-4CC3651C01F2}"/>
            </a:ext>
          </a:extLst>
        </xdr:cNvPr>
        <xdr:cNvSpPr/>
      </xdr:nvSpPr>
      <xdr:spPr>
        <a:xfrm>
          <a:off x="2005918" y="3802887"/>
          <a:ext cx="4884136" cy="2679763"/>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20</xdr:col>
      <xdr:colOff>52490</xdr:colOff>
      <xdr:row>20</xdr:row>
      <xdr:rowOff>139425</xdr:rowOff>
    </xdr:from>
    <xdr:to>
      <xdr:col>28</xdr:col>
      <xdr:colOff>71549</xdr:colOff>
      <xdr:row>35</xdr:row>
      <xdr:rowOff>71592</xdr:rowOff>
    </xdr:to>
    <xdr:sp macro="" textlink="">
      <xdr:nvSpPr>
        <xdr:cNvPr id="11" name="Rectangle: Rounded Corners 10">
          <a:extLst>
            <a:ext uri="{FF2B5EF4-FFF2-40B4-BE49-F238E27FC236}">
              <a16:creationId xmlns:a16="http://schemas.microsoft.com/office/drawing/2014/main" id="{F2A73474-DEDF-4B91-AF95-87DF5FDE45C1}"/>
            </a:ext>
          </a:extLst>
        </xdr:cNvPr>
        <xdr:cNvSpPr/>
      </xdr:nvSpPr>
      <xdr:spPr>
        <a:xfrm>
          <a:off x="12282120" y="3714240"/>
          <a:ext cx="4910910" cy="26132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457181</xdr:colOff>
      <xdr:row>20</xdr:row>
      <xdr:rowOff>139425</xdr:rowOff>
    </xdr:from>
    <xdr:to>
      <xdr:col>19</xdr:col>
      <xdr:colOff>476240</xdr:colOff>
      <xdr:row>35</xdr:row>
      <xdr:rowOff>71592</xdr:rowOff>
    </xdr:to>
    <xdr:sp macro="" textlink="">
      <xdr:nvSpPr>
        <xdr:cNvPr id="12" name="Rectangle: Rounded Corners 11">
          <a:extLst>
            <a:ext uri="{FF2B5EF4-FFF2-40B4-BE49-F238E27FC236}">
              <a16:creationId xmlns:a16="http://schemas.microsoft.com/office/drawing/2014/main" id="{54F71331-FEB0-4361-8048-4DD39EF43AC1}"/>
            </a:ext>
          </a:extLst>
        </xdr:cNvPr>
        <xdr:cNvSpPr/>
      </xdr:nvSpPr>
      <xdr:spPr>
        <a:xfrm>
          <a:off x="7183477" y="3714240"/>
          <a:ext cx="4910911" cy="26132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181514</xdr:colOff>
      <xdr:row>36</xdr:row>
      <xdr:rowOff>86275</xdr:rowOff>
    </xdr:from>
    <xdr:to>
      <xdr:col>9</xdr:col>
      <xdr:colOff>134188</xdr:colOff>
      <xdr:row>55</xdr:row>
      <xdr:rowOff>90118</xdr:rowOff>
    </xdr:to>
    <xdr:sp macro="" textlink="">
      <xdr:nvSpPr>
        <xdr:cNvPr id="13" name="Rectangle: Rounded Corners 12">
          <a:extLst>
            <a:ext uri="{FF2B5EF4-FFF2-40B4-BE49-F238E27FC236}">
              <a16:creationId xmlns:a16="http://schemas.microsoft.com/office/drawing/2014/main" id="{E3D8ADD7-1794-41A0-AE86-E890055D9EC1}"/>
            </a:ext>
          </a:extLst>
        </xdr:cNvPr>
        <xdr:cNvSpPr/>
      </xdr:nvSpPr>
      <xdr:spPr>
        <a:xfrm>
          <a:off x="2004871" y="6617704"/>
          <a:ext cx="3599388" cy="345098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118875</xdr:colOff>
      <xdr:row>36</xdr:row>
      <xdr:rowOff>86275</xdr:rowOff>
    </xdr:from>
    <xdr:to>
      <xdr:col>28</xdr:col>
      <xdr:colOff>71549</xdr:colOff>
      <xdr:row>55</xdr:row>
      <xdr:rowOff>90118</xdr:rowOff>
    </xdr:to>
    <xdr:sp macro="" textlink="">
      <xdr:nvSpPr>
        <xdr:cNvPr id="14" name="Rectangle: Rounded Corners 13">
          <a:extLst>
            <a:ext uri="{FF2B5EF4-FFF2-40B4-BE49-F238E27FC236}">
              <a16:creationId xmlns:a16="http://schemas.microsoft.com/office/drawing/2014/main" id="{F8D0ABA3-EE5E-484F-BAC1-B9FCA1FF1C27}"/>
            </a:ext>
          </a:extLst>
        </xdr:cNvPr>
        <xdr:cNvSpPr/>
      </xdr:nvSpPr>
      <xdr:spPr>
        <a:xfrm>
          <a:off x="13492403" y="6558994"/>
          <a:ext cx="3600000" cy="3420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475109</xdr:colOff>
      <xdr:row>36</xdr:row>
      <xdr:rowOff>86275</xdr:rowOff>
    </xdr:from>
    <xdr:to>
      <xdr:col>21</xdr:col>
      <xdr:colOff>427784</xdr:colOff>
      <xdr:row>55</xdr:row>
      <xdr:rowOff>90118</xdr:rowOff>
    </xdr:to>
    <xdr:sp macro="" textlink="">
      <xdr:nvSpPr>
        <xdr:cNvPr id="15" name="Rectangle: Rounded Corners 14">
          <a:extLst>
            <a:ext uri="{FF2B5EF4-FFF2-40B4-BE49-F238E27FC236}">
              <a16:creationId xmlns:a16="http://schemas.microsoft.com/office/drawing/2014/main" id="{14AC3FB1-9327-4D05-97DF-7F9818D45AF6}"/>
            </a:ext>
          </a:extLst>
        </xdr:cNvPr>
        <xdr:cNvSpPr/>
      </xdr:nvSpPr>
      <xdr:spPr>
        <a:xfrm>
          <a:off x="9682609" y="6563275"/>
          <a:ext cx="3635675" cy="342226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336155</xdr:colOff>
      <xdr:row>36</xdr:row>
      <xdr:rowOff>86275</xdr:rowOff>
    </xdr:from>
    <xdr:to>
      <xdr:col>15</xdr:col>
      <xdr:colOff>288829</xdr:colOff>
      <xdr:row>55</xdr:row>
      <xdr:rowOff>90118</xdr:rowOff>
    </xdr:to>
    <xdr:sp macro="" textlink="">
      <xdr:nvSpPr>
        <xdr:cNvPr id="16" name="Rectangle: Rounded Corners 15">
          <a:extLst>
            <a:ext uri="{FF2B5EF4-FFF2-40B4-BE49-F238E27FC236}">
              <a16:creationId xmlns:a16="http://schemas.microsoft.com/office/drawing/2014/main" id="{9994EF9B-881C-454E-A040-5A4BA6C07F8C}"/>
            </a:ext>
          </a:extLst>
        </xdr:cNvPr>
        <xdr:cNvSpPr/>
      </xdr:nvSpPr>
      <xdr:spPr>
        <a:xfrm>
          <a:off x="5807144" y="6558994"/>
          <a:ext cx="3600000" cy="3420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417805</xdr:colOff>
      <xdr:row>15</xdr:row>
      <xdr:rowOff>105151</xdr:rowOff>
    </xdr:from>
    <xdr:to>
      <xdr:col>6</xdr:col>
      <xdr:colOff>18310</xdr:colOff>
      <xdr:row>18</xdr:row>
      <xdr:rowOff>97746</xdr:rowOff>
    </xdr:to>
    <xdr:sp macro="" textlink="'[1]KPI&quot;s'!C16">
      <xdr:nvSpPr>
        <xdr:cNvPr id="21" name="TextBox 20">
          <a:extLst>
            <a:ext uri="{FF2B5EF4-FFF2-40B4-BE49-F238E27FC236}">
              <a16:creationId xmlns:a16="http://schemas.microsoft.com/office/drawing/2014/main" id="{4811B0B1-E48B-4EAE-94B0-A2A2F1289A42}"/>
            </a:ext>
          </a:extLst>
        </xdr:cNvPr>
        <xdr:cNvSpPr txBox="1"/>
      </xdr:nvSpPr>
      <xdr:spPr>
        <a:xfrm>
          <a:off x="2241468" y="2802117"/>
          <a:ext cx="1424168"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98625D-B7CF-453C-8C57-624C565789F1}" type="TxLink">
            <a:rPr lang="en-US" sz="4000" b="1" i="0" u="none" strike="noStrike">
              <a:solidFill>
                <a:srgbClr val="000000"/>
              </a:solidFill>
              <a:latin typeface="Aptos Narrow"/>
            </a:rPr>
            <a:pPr algn="ctr"/>
            <a:t>1470</a:t>
          </a:fld>
          <a:endParaRPr lang="en-IN" sz="4000" b="1"/>
        </a:p>
      </xdr:txBody>
    </xdr:sp>
    <xdr:clientData/>
  </xdr:twoCellAnchor>
  <xdr:twoCellAnchor>
    <xdr:from>
      <xdr:col>9</xdr:col>
      <xdr:colOff>48528</xdr:colOff>
      <xdr:row>15</xdr:row>
      <xdr:rowOff>105151</xdr:rowOff>
    </xdr:from>
    <xdr:to>
      <xdr:col>10</xdr:col>
      <xdr:colOff>601057</xdr:colOff>
      <xdr:row>18</xdr:row>
      <xdr:rowOff>97746</xdr:rowOff>
    </xdr:to>
    <xdr:sp macro="" textlink="'[1]KPI&quot;s'!D16">
      <xdr:nvSpPr>
        <xdr:cNvPr id="22" name="TextBox 21">
          <a:extLst>
            <a:ext uri="{FF2B5EF4-FFF2-40B4-BE49-F238E27FC236}">
              <a16:creationId xmlns:a16="http://schemas.microsoft.com/office/drawing/2014/main" id="{735F2129-01A7-457E-9A4B-4C0F9B78F023}"/>
            </a:ext>
          </a:extLst>
        </xdr:cNvPr>
        <xdr:cNvSpPr txBox="1"/>
      </xdr:nvSpPr>
      <xdr:spPr>
        <a:xfrm>
          <a:off x="5519517" y="2802117"/>
          <a:ext cx="1160416"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38234A-2EF0-4560-9776-109CF783D0C0}" type="TxLink">
            <a:rPr lang="en-US" sz="4000" b="1" i="0" u="none" strike="noStrike">
              <a:solidFill>
                <a:srgbClr val="000000"/>
              </a:solidFill>
              <a:latin typeface="Aptos Narrow"/>
            </a:rPr>
            <a:pPr algn="ctr"/>
            <a:t>237</a:t>
          </a:fld>
          <a:endParaRPr lang="en-IN" sz="4000" b="1"/>
        </a:p>
      </xdr:txBody>
    </xdr:sp>
    <xdr:clientData/>
  </xdr:twoCellAnchor>
  <xdr:twoCellAnchor>
    <xdr:from>
      <xdr:col>3</xdr:col>
      <xdr:colOff>404199</xdr:colOff>
      <xdr:row>13</xdr:row>
      <xdr:rowOff>123672</xdr:rowOff>
    </xdr:from>
    <xdr:to>
      <xdr:col>7</xdr:col>
      <xdr:colOff>396446</xdr:colOff>
      <xdr:row>15</xdr:row>
      <xdr:rowOff>117912</xdr:rowOff>
    </xdr:to>
    <xdr:sp macro="" textlink="">
      <xdr:nvSpPr>
        <xdr:cNvPr id="23" name="TextBox 22">
          <a:extLst>
            <a:ext uri="{FF2B5EF4-FFF2-40B4-BE49-F238E27FC236}">
              <a16:creationId xmlns:a16="http://schemas.microsoft.com/office/drawing/2014/main" id="{89DC3EE9-83EC-4059-8758-3FF7E5E17B24}"/>
            </a:ext>
          </a:extLst>
        </xdr:cNvPr>
        <xdr:cNvSpPr txBox="1"/>
      </xdr:nvSpPr>
      <xdr:spPr>
        <a:xfrm>
          <a:off x="2226821" y="2533240"/>
          <a:ext cx="2422409" cy="3649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2000" b="1">
              <a:solidFill>
                <a:srgbClr val="C00000"/>
              </a:solidFill>
            </a:rPr>
            <a:t>TOTAL EMPLOYEES</a:t>
          </a:r>
        </a:p>
      </xdr:txBody>
    </xdr:sp>
    <xdr:clientData/>
  </xdr:twoCellAnchor>
  <xdr:twoCellAnchor editAs="oneCell">
    <xdr:from>
      <xdr:col>6</xdr:col>
      <xdr:colOff>446653</xdr:colOff>
      <xdr:row>15</xdr:row>
      <xdr:rowOff>63541</xdr:rowOff>
    </xdr:from>
    <xdr:to>
      <xdr:col>7</xdr:col>
      <xdr:colOff>556457</xdr:colOff>
      <xdr:row>18</xdr:row>
      <xdr:rowOff>69948</xdr:rowOff>
    </xdr:to>
    <xdr:pic>
      <xdr:nvPicPr>
        <xdr:cNvPr id="28" name="Picture 27">
          <a:extLst>
            <a:ext uri="{FF2B5EF4-FFF2-40B4-BE49-F238E27FC236}">
              <a16:creationId xmlns:a16="http://schemas.microsoft.com/office/drawing/2014/main" id="{142FFDB3-CF66-4018-86F3-D1A6FED1BC3A}"/>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saturation sat="0"/>
                  </a14:imgEffect>
                </a14:imgLayer>
              </a14:imgProps>
            </a:ext>
          </a:extLst>
        </a:blip>
        <a:stretch>
          <a:fillRect/>
        </a:stretch>
      </xdr:blipFill>
      <xdr:spPr>
        <a:xfrm>
          <a:off x="4093979" y="2760507"/>
          <a:ext cx="717691" cy="545801"/>
        </a:xfrm>
        <a:prstGeom prst="rect">
          <a:avLst/>
        </a:prstGeom>
      </xdr:spPr>
    </xdr:pic>
    <xdr:clientData/>
  </xdr:twoCellAnchor>
  <xdr:twoCellAnchor>
    <xdr:from>
      <xdr:col>8</xdr:col>
      <xdr:colOff>531828</xdr:colOff>
      <xdr:row>13</xdr:row>
      <xdr:rowOff>123672</xdr:rowOff>
    </xdr:from>
    <xdr:to>
      <xdr:col>11</xdr:col>
      <xdr:colOff>336793</xdr:colOff>
      <xdr:row>15</xdr:row>
      <xdr:rowOff>117912</xdr:rowOff>
    </xdr:to>
    <xdr:sp macro="" textlink="">
      <xdr:nvSpPr>
        <xdr:cNvPr id="29" name="TextBox 28">
          <a:extLst>
            <a:ext uri="{FF2B5EF4-FFF2-40B4-BE49-F238E27FC236}">
              <a16:creationId xmlns:a16="http://schemas.microsoft.com/office/drawing/2014/main" id="{DC08AF0E-0E06-4D83-9290-5FA4931BF08E}"/>
            </a:ext>
          </a:extLst>
        </xdr:cNvPr>
        <xdr:cNvSpPr txBox="1"/>
      </xdr:nvSpPr>
      <xdr:spPr>
        <a:xfrm>
          <a:off x="5394929" y="2461043"/>
          <a:ext cx="1628628" cy="3538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rPr>
            <a:t>ATTRITION</a:t>
          </a:r>
        </a:p>
      </xdr:txBody>
    </xdr:sp>
    <xdr:clientData/>
  </xdr:twoCellAnchor>
  <xdr:twoCellAnchor editAs="oneCell">
    <xdr:from>
      <xdr:col>11</xdr:col>
      <xdr:colOff>450090</xdr:colOff>
      <xdr:row>14</xdr:row>
      <xdr:rowOff>160126</xdr:rowOff>
    </xdr:from>
    <xdr:to>
      <xdr:col>12</xdr:col>
      <xdr:colOff>559895</xdr:colOff>
      <xdr:row>18</xdr:row>
      <xdr:rowOff>153160</xdr:rowOff>
    </xdr:to>
    <xdr:pic>
      <xdr:nvPicPr>
        <xdr:cNvPr id="30" name="Picture 29">
          <a:extLst>
            <a:ext uri="{FF2B5EF4-FFF2-40B4-BE49-F238E27FC236}">
              <a16:creationId xmlns:a16="http://schemas.microsoft.com/office/drawing/2014/main" id="{C28686BD-F2DF-4BEF-9CAA-A6A7A7FB0571}"/>
            </a:ext>
          </a:extLst>
        </xdr:cNvPr>
        <xdr:cNvPicPr>
          <a:picLocks noChangeAspect="1"/>
        </xdr:cNvPicPr>
      </xdr:nvPicPr>
      <xdr:blipFill>
        <a:blip xmlns:r="http://schemas.openxmlformats.org/officeDocument/2006/relationships" r:embed="rId3">
          <a:extLst>
            <a:ext uri="{BEBA8EAE-BF5A-486C-A8C5-ECC9F3942E4B}">
              <a14:imgProps xmlns:a14="http://schemas.microsoft.com/office/drawing/2010/main">
                <a14:imgLayer r:embed="rId4">
                  <a14:imgEffect>
                    <a14:saturation sat="0"/>
                  </a14:imgEffect>
                </a14:imgLayer>
              </a14:imgProps>
            </a:ext>
            <a:ext uri="{28A0092B-C50C-407E-A947-70E740481C1C}">
              <a14:useLocalDpi xmlns:a14="http://schemas.microsoft.com/office/drawing/2010/main" val="0"/>
            </a:ext>
          </a:extLst>
        </a:blip>
        <a:stretch>
          <a:fillRect/>
        </a:stretch>
      </xdr:blipFill>
      <xdr:spPr>
        <a:xfrm>
          <a:off x="7136854" y="2677295"/>
          <a:ext cx="717693" cy="712225"/>
        </a:xfrm>
        <a:prstGeom prst="rect">
          <a:avLst/>
        </a:prstGeom>
      </xdr:spPr>
    </xdr:pic>
    <xdr:clientData/>
  </xdr:twoCellAnchor>
  <xdr:twoCellAnchor>
    <xdr:from>
      <xdr:col>13</xdr:col>
      <xdr:colOff>381674</xdr:colOff>
      <xdr:row>13</xdr:row>
      <xdr:rowOff>123672</xdr:rowOff>
    </xdr:from>
    <xdr:to>
      <xdr:col>17</xdr:col>
      <xdr:colOff>174607</xdr:colOff>
      <xdr:row>15</xdr:row>
      <xdr:rowOff>117912</xdr:rowOff>
    </xdr:to>
    <xdr:sp macro="" textlink="">
      <xdr:nvSpPr>
        <xdr:cNvPr id="31" name="TextBox 30">
          <a:extLst>
            <a:ext uri="{FF2B5EF4-FFF2-40B4-BE49-F238E27FC236}">
              <a16:creationId xmlns:a16="http://schemas.microsoft.com/office/drawing/2014/main" id="{DD4C080D-9E85-4291-B20E-254AEAB4939F}"/>
            </a:ext>
          </a:extLst>
        </xdr:cNvPr>
        <xdr:cNvSpPr txBox="1"/>
      </xdr:nvSpPr>
      <xdr:spPr>
        <a:xfrm>
          <a:off x="8284213" y="2461043"/>
          <a:ext cx="2224484" cy="3538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rgbClr val="C00000"/>
              </a:solidFill>
            </a:rPr>
            <a:t>ACTIVE</a:t>
          </a:r>
          <a:r>
            <a:rPr lang="en-IN" sz="2000" b="1" baseline="0">
              <a:solidFill>
                <a:srgbClr val="C00000"/>
              </a:solidFill>
            </a:rPr>
            <a:t> EMPLOYEE</a:t>
          </a:r>
        </a:p>
      </xdr:txBody>
    </xdr:sp>
    <xdr:clientData/>
  </xdr:twoCellAnchor>
  <xdr:twoCellAnchor>
    <xdr:from>
      <xdr:col>13</xdr:col>
      <xdr:colOff>441140</xdr:colOff>
      <xdr:row>15</xdr:row>
      <xdr:rowOff>105151</xdr:rowOff>
    </xdr:from>
    <xdr:to>
      <xdr:col>15</xdr:col>
      <xdr:colOff>529526</xdr:colOff>
      <xdr:row>18</xdr:row>
      <xdr:rowOff>97746</xdr:rowOff>
    </xdr:to>
    <xdr:sp macro="" textlink="'[1]KPI&quot;s'!E16">
      <xdr:nvSpPr>
        <xdr:cNvPr id="32" name="TextBox 31">
          <a:extLst>
            <a:ext uri="{FF2B5EF4-FFF2-40B4-BE49-F238E27FC236}">
              <a16:creationId xmlns:a16="http://schemas.microsoft.com/office/drawing/2014/main" id="{3B322A1E-B28C-400C-94BC-20122AE8A7F2}"/>
            </a:ext>
          </a:extLst>
        </xdr:cNvPr>
        <xdr:cNvSpPr txBox="1"/>
      </xdr:nvSpPr>
      <xdr:spPr>
        <a:xfrm>
          <a:off x="8343679" y="2802117"/>
          <a:ext cx="1304162"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16E2931A-404E-43DD-86DA-2971D05FDD3F}" type="TxLink">
            <a:rPr lang="en-US" sz="4000" b="1" i="0" u="none" strike="noStrike">
              <a:solidFill>
                <a:srgbClr val="000000"/>
              </a:solidFill>
              <a:latin typeface="Aptos Narrow"/>
            </a:rPr>
            <a:pPr algn="l"/>
            <a:t>1233</a:t>
          </a:fld>
          <a:endParaRPr lang="en-IN" sz="4000" b="1"/>
        </a:p>
      </xdr:txBody>
    </xdr:sp>
    <xdr:clientData/>
  </xdr:twoCellAnchor>
  <xdr:twoCellAnchor editAs="oneCell">
    <xdr:from>
      <xdr:col>16</xdr:col>
      <xdr:colOff>473738</xdr:colOff>
      <xdr:row>15</xdr:row>
      <xdr:rowOff>69896</xdr:rowOff>
    </xdr:from>
    <xdr:to>
      <xdr:col>17</xdr:col>
      <xdr:colOff>583542</xdr:colOff>
      <xdr:row>18</xdr:row>
      <xdr:rowOff>63592</xdr:rowOff>
    </xdr:to>
    <xdr:pic>
      <xdr:nvPicPr>
        <xdr:cNvPr id="33" name="Picture 32">
          <a:extLst>
            <a:ext uri="{FF2B5EF4-FFF2-40B4-BE49-F238E27FC236}">
              <a16:creationId xmlns:a16="http://schemas.microsoft.com/office/drawing/2014/main" id="{B507E27E-DF01-4DC9-B5EE-4FB789FA1E99}"/>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0199940" y="2766862"/>
          <a:ext cx="717692" cy="533090"/>
        </a:xfrm>
        <a:prstGeom prst="rect">
          <a:avLst/>
        </a:prstGeom>
      </xdr:spPr>
    </xdr:pic>
    <xdr:clientData/>
  </xdr:twoCellAnchor>
  <xdr:twoCellAnchor>
    <xdr:from>
      <xdr:col>18</xdr:col>
      <xdr:colOff>474683</xdr:colOff>
      <xdr:row>15</xdr:row>
      <xdr:rowOff>105151</xdr:rowOff>
    </xdr:from>
    <xdr:to>
      <xdr:col>21</xdr:col>
      <xdr:colOff>470343</xdr:colOff>
      <xdr:row>18</xdr:row>
      <xdr:rowOff>97746</xdr:rowOff>
    </xdr:to>
    <xdr:sp macro="" textlink="'[1]KPI&quot;s'!G16">
      <xdr:nvSpPr>
        <xdr:cNvPr id="34" name="TextBox 33">
          <a:extLst>
            <a:ext uri="{FF2B5EF4-FFF2-40B4-BE49-F238E27FC236}">
              <a16:creationId xmlns:a16="http://schemas.microsoft.com/office/drawing/2014/main" id="{59E36D97-8B5B-4F5F-A07C-1EA685E9EB6A}"/>
            </a:ext>
          </a:extLst>
        </xdr:cNvPr>
        <xdr:cNvSpPr txBox="1"/>
      </xdr:nvSpPr>
      <xdr:spPr>
        <a:xfrm>
          <a:off x="11416661" y="2802117"/>
          <a:ext cx="1819322"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A8C44226-245E-4E51-BEAC-85CB706B8C0E}" type="TxLink">
            <a:rPr lang="en-US" sz="4000" b="1" i="0" u="none" strike="noStrike">
              <a:solidFill>
                <a:srgbClr val="000000"/>
              </a:solidFill>
              <a:latin typeface="Aptos Narrow"/>
            </a:rPr>
            <a:pPr algn="l"/>
            <a:t>16.12%</a:t>
          </a:fld>
          <a:endParaRPr lang="en-US" sz="4000" b="1" i="0" u="none" strike="noStrike">
            <a:solidFill>
              <a:srgbClr val="000000"/>
            </a:solidFill>
            <a:latin typeface="Aptos Narrow"/>
          </a:endParaRPr>
        </a:p>
      </xdr:txBody>
    </xdr:sp>
    <xdr:clientData/>
  </xdr:twoCellAnchor>
  <xdr:twoCellAnchor>
    <xdr:from>
      <xdr:col>23</xdr:col>
      <xdr:colOff>476721</xdr:colOff>
      <xdr:row>15</xdr:row>
      <xdr:rowOff>105151</xdr:rowOff>
    </xdr:from>
    <xdr:to>
      <xdr:col>25</xdr:col>
      <xdr:colOff>42153</xdr:colOff>
      <xdr:row>18</xdr:row>
      <xdr:rowOff>97746</xdr:rowOff>
    </xdr:to>
    <xdr:sp macro="" textlink="'[1]KPI&quot;s'!F16">
      <xdr:nvSpPr>
        <xdr:cNvPr id="35" name="TextBox 34">
          <a:extLst>
            <a:ext uri="{FF2B5EF4-FFF2-40B4-BE49-F238E27FC236}">
              <a16:creationId xmlns:a16="http://schemas.microsoft.com/office/drawing/2014/main" id="{B51DD3D0-19B8-475F-8C92-1B5F47211F98}"/>
            </a:ext>
          </a:extLst>
        </xdr:cNvPr>
        <xdr:cNvSpPr txBox="1"/>
      </xdr:nvSpPr>
      <xdr:spPr>
        <a:xfrm>
          <a:off x="14458137" y="2802117"/>
          <a:ext cx="781207" cy="5319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D749E91-933F-4DDB-A047-E85ED65B3A7C}" type="TxLink">
            <a:rPr lang="en-US" sz="4000" b="1" i="0" u="none" strike="noStrike">
              <a:solidFill>
                <a:srgbClr val="000000"/>
              </a:solidFill>
              <a:latin typeface="Aptos Narrow"/>
            </a:rPr>
            <a:pPr algn="l"/>
            <a:t>37</a:t>
          </a:fld>
          <a:endParaRPr lang="en-IN" sz="4000" b="1"/>
        </a:p>
      </xdr:txBody>
    </xdr:sp>
    <xdr:clientData/>
  </xdr:twoCellAnchor>
  <xdr:twoCellAnchor>
    <xdr:from>
      <xdr:col>18</xdr:col>
      <xdr:colOff>342346</xdr:colOff>
      <xdr:row>13</xdr:row>
      <xdr:rowOff>131352</xdr:rowOff>
    </xdr:from>
    <xdr:to>
      <xdr:col>21</xdr:col>
      <xdr:colOff>421532</xdr:colOff>
      <xdr:row>15</xdr:row>
      <xdr:rowOff>110232</xdr:rowOff>
    </xdr:to>
    <xdr:sp macro="" textlink="">
      <xdr:nvSpPr>
        <xdr:cNvPr id="37" name="TextBox 36">
          <a:extLst>
            <a:ext uri="{FF2B5EF4-FFF2-40B4-BE49-F238E27FC236}">
              <a16:creationId xmlns:a16="http://schemas.microsoft.com/office/drawing/2014/main" id="{D1CA774B-AB70-47DE-A03B-6EA72A97A951}"/>
            </a:ext>
          </a:extLst>
        </xdr:cNvPr>
        <xdr:cNvSpPr txBox="1"/>
      </xdr:nvSpPr>
      <xdr:spPr>
        <a:xfrm>
          <a:off x="11284324" y="2468723"/>
          <a:ext cx="1902848" cy="3384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baseline="0">
              <a:solidFill>
                <a:srgbClr val="C00000"/>
              </a:solidFill>
            </a:rPr>
            <a:t>ATTRITION RATE</a:t>
          </a:r>
        </a:p>
      </xdr:txBody>
    </xdr:sp>
    <xdr:clientData/>
  </xdr:twoCellAnchor>
  <xdr:twoCellAnchor>
    <xdr:from>
      <xdr:col>23</xdr:col>
      <xdr:colOff>359552</xdr:colOff>
      <xdr:row>13</xdr:row>
      <xdr:rowOff>123672</xdr:rowOff>
    </xdr:from>
    <xdr:to>
      <xdr:col>26</xdr:col>
      <xdr:colOff>204281</xdr:colOff>
      <xdr:row>15</xdr:row>
      <xdr:rowOff>117912</xdr:rowOff>
    </xdr:to>
    <xdr:sp macro="" textlink="">
      <xdr:nvSpPr>
        <xdr:cNvPr id="38" name="TextBox 37">
          <a:extLst>
            <a:ext uri="{FF2B5EF4-FFF2-40B4-BE49-F238E27FC236}">
              <a16:creationId xmlns:a16="http://schemas.microsoft.com/office/drawing/2014/main" id="{47C1B6EA-13F7-4F79-A540-42347C9BB238}"/>
            </a:ext>
          </a:extLst>
        </xdr:cNvPr>
        <xdr:cNvSpPr txBox="1"/>
      </xdr:nvSpPr>
      <xdr:spPr>
        <a:xfrm>
          <a:off x="14340968" y="2461043"/>
          <a:ext cx="1668392" cy="3538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baseline="0">
              <a:solidFill>
                <a:srgbClr val="C00000"/>
              </a:solidFill>
            </a:rPr>
            <a:t>AVERAGE AGE </a:t>
          </a:r>
        </a:p>
      </xdr:txBody>
    </xdr:sp>
    <xdr:clientData/>
  </xdr:twoCellAnchor>
  <xdr:twoCellAnchor editAs="oneCell">
    <xdr:from>
      <xdr:col>21</xdr:col>
      <xdr:colOff>453777</xdr:colOff>
      <xdr:row>15</xdr:row>
      <xdr:rowOff>17124</xdr:rowOff>
    </xdr:from>
    <xdr:to>
      <xdr:col>22</xdr:col>
      <xdr:colOff>565889</xdr:colOff>
      <xdr:row>18</xdr:row>
      <xdr:rowOff>97264</xdr:rowOff>
    </xdr:to>
    <xdr:pic>
      <xdr:nvPicPr>
        <xdr:cNvPr id="40" name="Picture 39">
          <a:extLst>
            <a:ext uri="{FF2B5EF4-FFF2-40B4-BE49-F238E27FC236}">
              <a16:creationId xmlns:a16="http://schemas.microsoft.com/office/drawing/2014/main" id="{4382F2B1-919A-AB89-EE45-EA3D1753B37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219417" y="2714090"/>
          <a:ext cx="720000" cy="619534"/>
        </a:xfrm>
        <a:prstGeom prst="rect">
          <a:avLst/>
        </a:prstGeom>
      </xdr:spPr>
    </xdr:pic>
    <xdr:clientData/>
  </xdr:twoCellAnchor>
  <xdr:twoCellAnchor editAs="oneCell">
    <xdr:from>
      <xdr:col>26</xdr:col>
      <xdr:colOff>368157</xdr:colOff>
      <xdr:row>14</xdr:row>
      <xdr:rowOff>111303</xdr:rowOff>
    </xdr:from>
    <xdr:to>
      <xdr:col>27</xdr:col>
      <xdr:colOff>480270</xdr:colOff>
      <xdr:row>18</xdr:row>
      <xdr:rowOff>59430</xdr:rowOff>
    </xdr:to>
    <xdr:pic>
      <xdr:nvPicPr>
        <xdr:cNvPr id="42" name="Picture 41">
          <a:extLst>
            <a:ext uri="{FF2B5EF4-FFF2-40B4-BE49-F238E27FC236}">
              <a16:creationId xmlns:a16="http://schemas.microsoft.com/office/drawing/2014/main" id="{9128EB4B-2FED-7326-0BC2-ECC66D06B59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6173236" y="2628472"/>
          <a:ext cx="720000" cy="667318"/>
        </a:xfrm>
        <a:prstGeom prst="rect">
          <a:avLst/>
        </a:prstGeom>
      </xdr:spPr>
    </xdr:pic>
    <xdr:clientData/>
  </xdr:twoCellAnchor>
  <xdr:twoCellAnchor>
    <xdr:from>
      <xdr:col>3</xdr:col>
      <xdr:colOff>277698</xdr:colOff>
      <xdr:row>27</xdr:row>
      <xdr:rowOff>22342</xdr:rowOff>
    </xdr:from>
    <xdr:to>
      <xdr:col>5</xdr:col>
      <xdr:colOff>496716</xdr:colOff>
      <xdr:row>35</xdr:row>
      <xdr:rowOff>728</xdr:rowOff>
    </xdr:to>
    <xdr:graphicFrame macro="">
      <xdr:nvGraphicFramePr>
        <xdr:cNvPr id="43" name="Chart 42">
          <a:extLst>
            <a:ext uri="{FF2B5EF4-FFF2-40B4-BE49-F238E27FC236}">
              <a16:creationId xmlns:a16="http://schemas.microsoft.com/office/drawing/2014/main" id="{8D48E5E7-1983-42FC-96CA-CD30693A9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542309</xdr:colOff>
      <xdr:row>27</xdr:row>
      <xdr:rowOff>22342</xdr:rowOff>
    </xdr:from>
    <xdr:to>
      <xdr:col>11</xdr:col>
      <xdr:colOff>150835</xdr:colOff>
      <xdr:row>35</xdr:row>
      <xdr:rowOff>728</xdr:rowOff>
    </xdr:to>
    <xdr:graphicFrame macro="">
      <xdr:nvGraphicFramePr>
        <xdr:cNvPr id="44" name="Chart 43">
          <a:extLst>
            <a:ext uri="{FF2B5EF4-FFF2-40B4-BE49-F238E27FC236}">
              <a16:creationId xmlns:a16="http://schemas.microsoft.com/office/drawing/2014/main" id="{C638B9CE-2131-470C-A5B1-125FFAD7D9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47037</xdr:colOff>
      <xdr:row>23</xdr:row>
      <xdr:rowOff>162255</xdr:rowOff>
    </xdr:from>
    <xdr:to>
      <xdr:col>19</xdr:col>
      <xdr:colOff>229905</xdr:colOff>
      <xdr:row>34</xdr:row>
      <xdr:rowOff>176107</xdr:rowOff>
    </xdr:to>
    <xdr:graphicFrame macro="">
      <xdr:nvGraphicFramePr>
        <xdr:cNvPr id="45" name="Chart 44">
          <a:extLst>
            <a:ext uri="{FF2B5EF4-FFF2-40B4-BE49-F238E27FC236}">
              <a16:creationId xmlns:a16="http://schemas.microsoft.com/office/drawing/2014/main" id="{9ED8A9A7-8809-49A7-9707-00C67C91A9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240033</xdr:colOff>
      <xdr:row>41</xdr:row>
      <xdr:rowOff>0</xdr:rowOff>
    </xdr:from>
    <xdr:to>
      <xdr:col>8</xdr:col>
      <xdr:colOff>592667</xdr:colOff>
      <xdr:row>55</xdr:row>
      <xdr:rowOff>17629</xdr:rowOff>
    </xdr:to>
    <xdr:graphicFrame macro="">
      <xdr:nvGraphicFramePr>
        <xdr:cNvPr id="46" name="Chart 45">
          <a:extLst>
            <a:ext uri="{FF2B5EF4-FFF2-40B4-BE49-F238E27FC236}">
              <a16:creationId xmlns:a16="http://schemas.microsoft.com/office/drawing/2014/main" id="{46164698-D402-4AB9-B028-DE1108EFFC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508000</xdr:colOff>
      <xdr:row>41</xdr:row>
      <xdr:rowOff>0</xdr:rowOff>
    </xdr:from>
    <xdr:to>
      <xdr:col>15</xdr:col>
      <xdr:colOff>197556</xdr:colOff>
      <xdr:row>55</xdr:row>
      <xdr:rowOff>17629</xdr:rowOff>
    </xdr:to>
    <xdr:graphicFrame macro="">
      <xdr:nvGraphicFramePr>
        <xdr:cNvPr id="47" name="Chart 46">
          <a:extLst>
            <a:ext uri="{FF2B5EF4-FFF2-40B4-BE49-F238E27FC236}">
              <a16:creationId xmlns:a16="http://schemas.microsoft.com/office/drawing/2014/main" id="{09ABB0BB-09AC-4A68-A15B-D0BD3C3DB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37628</xdr:colOff>
      <xdr:row>41</xdr:row>
      <xdr:rowOff>0</xdr:rowOff>
    </xdr:from>
    <xdr:to>
      <xdr:col>21</xdr:col>
      <xdr:colOff>206962</xdr:colOff>
      <xdr:row>55</xdr:row>
      <xdr:rowOff>17629</xdr:rowOff>
    </xdr:to>
    <mc:AlternateContent xmlns:mc="http://schemas.openxmlformats.org/markup-compatibility/2006">
      <mc:Choice xmlns:cx2="http://schemas.microsoft.com/office/drawing/2015/10/21/chartex" Requires="cx2">
        <xdr:graphicFrame macro="">
          <xdr:nvGraphicFramePr>
            <xdr:cNvPr id="48" name="Chart 47">
              <a:extLst>
                <a:ext uri="{FF2B5EF4-FFF2-40B4-BE49-F238E27FC236}">
                  <a16:creationId xmlns:a16="http://schemas.microsoft.com/office/drawing/2014/main" id="{225369BD-57D2-4E7F-A9B3-B49DE6D227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9791228" y="7498080"/>
              <a:ext cx="3217334" cy="257794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244591</xdr:colOff>
      <xdr:row>23</xdr:row>
      <xdr:rowOff>162255</xdr:rowOff>
    </xdr:from>
    <xdr:to>
      <xdr:col>27</xdr:col>
      <xdr:colOff>526814</xdr:colOff>
      <xdr:row>34</xdr:row>
      <xdr:rowOff>176107</xdr:rowOff>
    </xdr:to>
    <mc:AlternateContent xmlns:mc="http://schemas.openxmlformats.org/markup-compatibility/2006">
      <mc:Choice xmlns:cx1="http://schemas.microsoft.com/office/drawing/2015/9/8/chartex" Requires="cx1">
        <xdr:graphicFrame macro="">
          <xdr:nvGraphicFramePr>
            <xdr:cNvPr id="49" name="Chart 48">
              <a:extLst>
                <a:ext uri="{FF2B5EF4-FFF2-40B4-BE49-F238E27FC236}">
                  <a16:creationId xmlns:a16="http://schemas.microsoft.com/office/drawing/2014/main" id="{27A75EAA-1933-4F23-B51E-2657562B157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2436591" y="4368495"/>
              <a:ext cx="4549423" cy="202553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5</xdr:col>
      <xdr:colOff>560653</xdr:colOff>
      <xdr:row>24</xdr:row>
      <xdr:rowOff>11299</xdr:rowOff>
    </xdr:from>
    <xdr:to>
      <xdr:col>8</xdr:col>
      <xdr:colOff>513982</xdr:colOff>
      <xdr:row>28</xdr:row>
      <xdr:rowOff>104274</xdr:rowOff>
    </xdr:to>
    <mc:AlternateContent xmlns:mc="http://schemas.openxmlformats.org/markup-compatibility/2006" xmlns:a14="http://schemas.microsoft.com/office/drawing/2010/main">
      <mc:Choice Requires="a14">
        <xdr:graphicFrame macro="">
          <xdr:nvGraphicFramePr>
            <xdr:cNvPr id="50" name="Gender 1">
              <a:extLst>
                <a:ext uri="{FF2B5EF4-FFF2-40B4-BE49-F238E27FC236}">
                  <a16:creationId xmlns:a16="http://schemas.microsoft.com/office/drawing/2014/main" id="{7D287F02-F409-4501-A625-89E27901CB4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3597610" y="4517038"/>
              <a:ext cx="1775502" cy="8439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534132</xdr:colOff>
      <xdr:row>6</xdr:row>
      <xdr:rowOff>130279</xdr:rowOff>
    </xdr:from>
    <xdr:to>
      <xdr:col>28</xdr:col>
      <xdr:colOff>51340</xdr:colOff>
      <xdr:row>10</xdr:row>
      <xdr:rowOff>104492</xdr:rowOff>
    </xdr:to>
    <xdr:graphicFrame macro="">
      <xdr:nvGraphicFramePr>
        <xdr:cNvPr id="51" name="Chart 50">
          <a:extLst>
            <a:ext uri="{FF2B5EF4-FFF2-40B4-BE49-F238E27FC236}">
              <a16:creationId xmlns:a16="http://schemas.microsoft.com/office/drawing/2014/main" id="{8A6C6E14-1647-4B1A-A979-39C6589B75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23</xdr:col>
      <xdr:colOff>529651</xdr:colOff>
      <xdr:row>7</xdr:row>
      <xdr:rowOff>136905</xdr:rowOff>
    </xdr:from>
    <xdr:to>
      <xdr:col>27</xdr:col>
      <xdr:colOff>134630</xdr:colOff>
      <xdr:row>9</xdr:row>
      <xdr:rowOff>118461</xdr:rowOff>
    </xdr:to>
    <xdr:pic>
      <xdr:nvPicPr>
        <xdr:cNvPr id="53" name="Picture 52">
          <a:extLst>
            <a:ext uri="{FF2B5EF4-FFF2-40B4-BE49-F238E27FC236}">
              <a16:creationId xmlns:a16="http://schemas.microsoft.com/office/drawing/2014/main" id="{07EA413A-8746-929D-7EEA-B21F4561EBA6}"/>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4499651" y="1451079"/>
          <a:ext cx="2034544" cy="357034"/>
        </a:xfrm>
        <a:prstGeom prst="rect">
          <a:avLst/>
        </a:prstGeom>
      </xdr:spPr>
    </xdr:pic>
    <xdr:clientData/>
  </xdr:twoCellAnchor>
  <xdr:twoCellAnchor>
    <xdr:from>
      <xdr:col>21</xdr:col>
      <xdr:colOff>288211</xdr:colOff>
      <xdr:row>5</xdr:row>
      <xdr:rowOff>63253</xdr:rowOff>
    </xdr:from>
    <xdr:to>
      <xdr:col>23</xdr:col>
      <xdr:colOff>523154</xdr:colOff>
      <xdr:row>11</xdr:row>
      <xdr:rowOff>134645</xdr:rowOff>
    </xdr:to>
    <xdr:graphicFrame macro="">
      <xdr:nvGraphicFramePr>
        <xdr:cNvPr id="54" name="Chart 53">
          <a:extLst>
            <a:ext uri="{FF2B5EF4-FFF2-40B4-BE49-F238E27FC236}">
              <a16:creationId xmlns:a16="http://schemas.microsoft.com/office/drawing/2014/main" id="{8815BDFC-CB76-4F6A-A420-5B07A25CB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25</xdr:col>
      <xdr:colOff>105305</xdr:colOff>
      <xdr:row>40</xdr:row>
      <xdr:rowOff>69881</xdr:rowOff>
    </xdr:from>
    <xdr:to>
      <xdr:col>27</xdr:col>
      <xdr:colOff>584744</xdr:colOff>
      <xdr:row>47</xdr:row>
      <xdr:rowOff>5731</xdr:rowOff>
    </xdr:to>
    <mc:AlternateContent xmlns:mc="http://schemas.openxmlformats.org/markup-compatibility/2006" xmlns:a14="http://schemas.microsoft.com/office/drawing/2010/main">
      <mc:Choice Requires="a14">
        <xdr:graphicFrame macro="">
          <xdr:nvGraphicFramePr>
            <xdr:cNvPr id="17" name="Department 1">
              <a:extLst>
                <a:ext uri="{FF2B5EF4-FFF2-40B4-BE49-F238E27FC236}">
                  <a16:creationId xmlns:a16="http://schemas.microsoft.com/office/drawing/2014/main" id="{34E21F18-938F-4A80-8A79-1CD2EB69B1A1}"/>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5290088" y="7579446"/>
              <a:ext cx="1694221" cy="1250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179433</xdr:colOff>
      <xdr:row>40</xdr:row>
      <xdr:rowOff>69187</xdr:rowOff>
    </xdr:from>
    <xdr:to>
      <xdr:col>25</xdr:col>
      <xdr:colOff>51563</xdr:colOff>
      <xdr:row>52</xdr:row>
      <xdr:rowOff>43405</xdr:rowOff>
    </xdr:to>
    <mc:AlternateContent xmlns:mc="http://schemas.openxmlformats.org/markup-compatibility/2006" xmlns:a14="http://schemas.microsoft.com/office/drawing/2010/main">
      <mc:Choice Requires="a14">
        <xdr:graphicFrame macro="">
          <xdr:nvGraphicFramePr>
            <xdr:cNvPr id="18" name="EducationField 1">
              <a:extLst>
                <a:ext uri="{FF2B5EF4-FFF2-40B4-BE49-F238E27FC236}">
                  <a16:creationId xmlns:a16="http://schemas.microsoft.com/office/drawing/2014/main" id="{678F01E3-A5AA-41E7-A46E-4CFF22DD9E2F}"/>
                </a:ext>
              </a:extLst>
            </xdr:cNvPr>
            <xdr:cNvGraphicFramePr/>
          </xdr:nvGraphicFramePr>
          <xdr:xfrm>
            <a:off x="0" y="0"/>
            <a:ext cx="0" cy="0"/>
          </xdr:xfrm>
          <a:graphic>
            <a:graphicData uri="http://schemas.microsoft.com/office/drawing/2010/slicer">
              <sle:slicer xmlns:sle="http://schemas.microsoft.com/office/drawing/2010/slicer" name="EducationField 1"/>
            </a:graphicData>
          </a:graphic>
        </xdr:graphicFrame>
      </mc:Choice>
      <mc:Fallback xmlns="">
        <xdr:sp macro="" textlink="">
          <xdr:nvSpPr>
            <xdr:cNvPr id="0" name=""/>
            <xdr:cNvSpPr>
              <a:spLocks noTextEdit="1"/>
            </xdr:cNvSpPr>
          </xdr:nvSpPr>
          <xdr:spPr>
            <a:xfrm>
              <a:off x="13542042" y="7578752"/>
              <a:ext cx="1694304" cy="22270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255939</xdr:colOff>
      <xdr:row>29</xdr:row>
      <xdr:rowOff>110790</xdr:rowOff>
    </xdr:from>
    <xdr:to>
      <xdr:col>10</xdr:col>
      <xdr:colOff>462435</xdr:colOff>
      <xdr:row>32</xdr:row>
      <xdr:rowOff>66893</xdr:rowOff>
    </xdr:to>
    <xdr:sp macro="" textlink="Charts!B11">
      <xdr:nvSpPr>
        <xdr:cNvPr id="19" name="TextBox 18">
          <a:extLst>
            <a:ext uri="{FF2B5EF4-FFF2-40B4-BE49-F238E27FC236}">
              <a16:creationId xmlns:a16="http://schemas.microsoft.com/office/drawing/2014/main" id="{52D9A153-6DCD-CC35-5C28-697DE04C7772}"/>
            </a:ext>
          </a:extLst>
        </xdr:cNvPr>
        <xdr:cNvSpPr txBox="1"/>
      </xdr:nvSpPr>
      <xdr:spPr>
        <a:xfrm>
          <a:off x="5752809" y="5424431"/>
          <a:ext cx="817260" cy="5057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E2673E-FFE1-4CED-86D9-0CC311A27C4D}" type="TxLink">
            <a:rPr lang="en-US" sz="3000" b="1" i="0" u="none" strike="noStrike">
              <a:solidFill>
                <a:srgbClr val="000000"/>
              </a:solidFill>
              <a:latin typeface="Aptos Narrow"/>
            </a:rPr>
            <a:pPr algn="ctr"/>
            <a:t>882</a:t>
          </a:fld>
          <a:endParaRPr lang="en-IN" sz="3000" b="1"/>
        </a:p>
      </xdr:txBody>
    </xdr:sp>
    <xdr:clientData/>
  </xdr:twoCellAnchor>
  <xdr:twoCellAnchor>
    <xdr:from>
      <xdr:col>3</xdr:col>
      <xdr:colOff>588659</xdr:colOff>
      <xdr:row>29</xdr:row>
      <xdr:rowOff>114862</xdr:rowOff>
    </xdr:from>
    <xdr:to>
      <xdr:col>5</xdr:col>
      <xdr:colOff>184392</xdr:colOff>
      <xdr:row>32</xdr:row>
      <xdr:rowOff>70965</xdr:rowOff>
    </xdr:to>
    <xdr:sp macro="" textlink="Charts!B10">
      <xdr:nvSpPr>
        <xdr:cNvPr id="20" name="TextBox 19">
          <a:extLst>
            <a:ext uri="{FF2B5EF4-FFF2-40B4-BE49-F238E27FC236}">
              <a16:creationId xmlns:a16="http://schemas.microsoft.com/office/drawing/2014/main" id="{10D9AB4D-9C35-4F68-A160-237CC8712623}"/>
            </a:ext>
          </a:extLst>
        </xdr:cNvPr>
        <xdr:cNvSpPr txBox="1"/>
      </xdr:nvSpPr>
      <xdr:spPr>
        <a:xfrm>
          <a:off x="2420949" y="5428503"/>
          <a:ext cx="817260" cy="5057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771C8B-F80D-4247-83B2-A569B486D8AC}" type="TxLink">
            <a:rPr lang="en-US" sz="3000" b="1" i="0" u="none" strike="noStrike">
              <a:solidFill>
                <a:srgbClr val="000000"/>
              </a:solidFill>
              <a:latin typeface="Aptos Narrow"/>
            </a:rPr>
            <a:pPr algn="ctr"/>
            <a:t>588</a:t>
          </a:fld>
          <a:endParaRPr lang="en-IN" sz="3000" b="1"/>
        </a:p>
      </xdr:txBody>
    </xdr:sp>
    <xdr:clientData/>
  </xdr:twoCellAnchor>
  <xdr:twoCellAnchor>
    <xdr:from>
      <xdr:col>6</xdr:col>
      <xdr:colOff>27695</xdr:colOff>
      <xdr:row>6</xdr:row>
      <xdr:rowOff>39578</xdr:rowOff>
    </xdr:from>
    <xdr:to>
      <xdr:col>18</xdr:col>
      <xdr:colOff>14557</xdr:colOff>
      <xdr:row>11</xdr:row>
      <xdr:rowOff>20244</xdr:rowOff>
    </xdr:to>
    <xdr:sp macro="" textlink="">
      <xdr:nvSpPr>
        <xdr:cNvPr id="24" name="TextBox 23">
          <a:extLst>
            <a:ext uri="{FF2B5EF4-FFF2-40B4-BE49-F238E27FC236}">
              <a16:creationId xmlns:a16="http://schemas.microsoft.com/office/drawing/2014/main" id="{1D362353-7671-E0C7-E749-32BF3A7F1B0E}"/>
            </a:ext>
          </a:extLst>
        </xdr:cNvPr>
        <xdr:cNvSpPr txBox="1"/>
      </xdr:nvSpPr>
      <xdr:spPr>
        <a:xfrm>
          <a:off x="3685295" y="1115343"/>
          <a:ext cx="7302062" cy="877136"/>
        </a:xfrm>
        <a:prstGeom prst="roundRect">
          <a:avLst>
            <a:gd name="adj" fmla="val 25528"/>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700" b="1">
              <a:solidFill>
                <a:schemeClr val="accent1"/>
              </a:solidFill>
            </a:rPr>
            <a:t>HR </a:t>
          </a:r>
          <a:r>
            <a:rPr lang="en-IN" sz="4700" b="1" baseline="0">
              <a:solidFill>
                <a:schemeClr val="accent1"/>
              </a:solidFill>
            </a:rPr>
            <a:t> ANALYTICS  DASHBORD</a:t>
          </a:r>
        </a:p>
      </xdr:txBody>
    </xdr:sp>
    <xdr:clientData/>
  </xdr:twoCellAnchor>
  <xdr:twoCellAnchor editAs="oneCell">
    <xdr:from>
      <xdr:col>3</xdr:col>
      <xdr:colOff>446689</xdr:colOff>
      <xdr:row>5</xdr:row>
      <xdr:rowOff>105102</xdr:rowOff>
    </xdr:from>
    <xdr:to>
      <xdr:col>5</xdr:col>
      <xdr:colOff>578069</xdr:colOff>
      <xdr:row>11</xdr:row>
      <xdr:rowOff>131380</xdr:rowOff>
    </xdr:to>
    <xdr:pic>
      <xdr:nvPicPr>
        <xdr:cNvPr id="26" name="Picture 25">
          <a:extLst>
            <a:ext uri="{FF2B5EF4-FFF2-40B4-BE49-F238E27FC236}">
              <a16:creationId xmlns:a16="http://schemas.microsoft.com/office/drawing/2014/main" id="{865BA85E-A5C7-44C5-83ED-5743C2F6E145}"/>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2259723" y="1024757"/>
          <a:ext cx="1340070" cy="1129864"/>
        </a:xfrm>
        <a:prstGeom prst="rect">
          <a:avLst/>
        </a:prstGeom>
      </xdr:spPr>
    </xdr:pic>
    <xdr:clientData/>
  </xdr:twoCellAnchor>
  <xdr:twoCellAnchor>
    <xdr:from>
      <xdr:col>3</xdr:col>
      <xdr:colOff>466165</xdr:colOff>
      <xdr:row>21</xdr:row>
      <xdr:rowOff>36917</xdr:rowOff>
    </xdr:from>
    <xdr:to>
      <xdr:col>10</xdr:col>
      <xdr:colOff>518965</xdr:colOff>
      <xdr:row>23</xdr:row>
      <xdr:rowOff>38328</xdr:rowOff>
    </xdr:to>
    <xdr:sp macro="" textlink="">
      <xdr:nvSpPr>
        <xdr:cNvPr id="36" name="TextBox 35">
          <a:extLst>
            <a:ext uri="{FF2B5EF4-FFF2-40B4-BE49-F238E27FC236}">
              <a16:creationId xmlns:a16="http://schemas.microsoft.com/office/drawing/2014/main" id="{19592438-0984-7ED7-C797-6EA15744B8C9}"/>
            </a:ext>
          </a:extLst>
        </xdr:cNvPr>
        <xdr:cNvSpPr txBox="1"/>
      </xdr:nvSpPr>
      <xdr:spPr>
        <a:xfrm>
          <a:off x="2290569" y="3883552"/>
          <a:ext cx="4309742" cy="367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TOTAL EMPLOYEE BY GENDER</a:t>
          </a:r>
        </a:p>
      </xdr:txBody>
    </xdr:sp>
    <xdr:clientData/>
  </xdr:twoCellAnchor>
  <xdr:twoCellAnchor>
    <xdr:from>
      <xdr:col>20</xdr:col>
      <xdr:colOff>338677</xdr:colOff>
      <xdr:row>21</xdr:row>
      <xdr:rowOff>36917</xdr:rowOff>
    </xdr:from>
    <xdr:to>
      <xdr:col>27</xdr:col>
      <xdr:colOff>391476</xdr:colOff>
      <xdr:row>23</xdr:row>
      <xdr:rowOff>38328</xdr:rowOff>
    </xdr:to>
    <xdr:sp macro="" textlink="">
      <xdr:nvSpPr>
        <xdr:cNvPr id="41" name="TextBox 40">
          <a:extLst>
            <a:ext uri="{FF2B5EF4-FFF2-40B4-BE49-F238E27FC236}">
              <a16:creationId xmlns:a16="http://schemas.microsoft.com/office/drawing/2014/main" id="{DB1D892C-86D8-4FE2-8663-3CB7FC1DACA0}"/>
            </a:ext>
          </a:extLst>
        </xdr:cNvPr>
        <xdr:cNvSpPr txBox="1"/>
      </xdr:nvSpPr>
      <xdr:spPr>
        <a:xfrm>
          <a:off x="12501369" y="3883552"/>
          <a:ext cx="4309742" cy="367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ATTRITION</a:t>
          </a:r>
          <a:r>
            <a:rPr lang="en-IN" sz="2000" b="1" u="sng" baseline="0">
              <a:solidFill>
                <a:srgbClr val="C00000"/>
              </a:solidFill>
              <a:latin typeface="Arial Narrow" panose="020B0606020202030204" pitchFamily="34" charset="0"/>
            </a:rPr>
            <a:t> BY JOB ROLE</a:t>
          </a:r>
          <a:endParaRPr lang="en-IN" sz="2000" b="1" u="sng">
            <a:solidFill>
              <a:srgbClr val="C00000"/>
            </a:solidFill>
            <a:latin typeface="Arial Narrow" panose="020B0606020202030204" pitchFamily="34" charset="0"/>
          </a:endParaRPr>
        </a:p>
      </xdr:txBody>
    </xdr:sp>
    <xdr:clientData/>
  </xdr:twoCellAnchor>
  <xdr:twoCellAnchor>
    <xdr:from>
      <xdr:col>12</xdr:col>
      <xdr:colOff>146712</xdr:colOff>
      <xdr:row>21</xdr:row>
      <xdr:rowOff>36917</xdr:rowOff>
    </xdr:from>
    <xdr:to>
      <xdr:col>19</xdr:col>
      <xdr:colOff>199511</xdr:colOff>
      <xdr:row>23</xdr:row>
      <xdr:rowOff>38328</xdr:rowOff>
    </xdr:to>
    <xdr:sp macro="" textlink="">
      <xdr:nvSpPr>
        <xdr:cNvPr id="52" name="TextBox 51">
          <a:extLst>
            <a:ext uri="{FF2B5EF4-FFF2-40B4-BE49-F238E27FC236}">
              <a16:creationId xmlns:a16="http://schemas.microsoft.com/office/drawing/2014/main" id="{CBC954D0-C9A9-4D69-B8C4-05C0C74F742C}"/>
            </a:ext>
          </a:extLst>
        </xdr:cNvPr>
        <xdr:cNvSpPr txBox="1"/>
      </xdr:nvSpPr>
      <xdr:spPr>
        <a:xfrm>
          <a:off x="7444327" y="3883552"/>
          <a:ext cx="4309742" cy="3677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EDUCATION WISE ATTRITION</a:t>
          </a:r>
        </a:p>
      </xdr:txBody>
    </xdr:sp>
    <xdr:clientData/>
  </xdr:twoCellAnchor>
  <xdr:twoCellAnchor>
    <xdr:from>
      <xdr:col>3</xdr:col>
      <xdr:colOff>216239</xdr:colOff>
      <xdr:row>37</xdr:row>
      <xdr:rowOff>47542</xdr:rowOff>
    </xdr:from>
    <xdr:to>
      <xdr:col>9</xdr:col>
      <xdr:colOff>133239</xdr:colOff>
      <xdr:row>39</xdr:row>
      <xdr:rowOff>48953</xdr:rowOff>
    </xdr:to>
    <xdr:sp macro="" textlink="">
      <xdr:nvSpPr>
        <xdr:cNvPr id="55" name="TextBox 54">
          <a:extLst>
            <a:ext uri="{FF2B5EF4-FFF2-40B4-BE49-F238E27FC236}">
              <a16:creationId xmlns:a16="http://schemas.microsoft.com/office/drawing/2014/main" id="{51307F76-B02A-49B6-99CA-5ACDF4C8017E}"/>
            </a:ext>
          </a:extLst>
        </xdr:cNvPr>
        <xdr:cNvSpPr txBox="1"/>
      </xdr:nvSpPr>
      <xdr:spPr>
        <a:xfrm>
          <a:off x="2039596" y="6760399"/>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DEPARTMENT WISE ATTRITION</a:t>
          </a:r>
        </a:p>
      </xdr:txBody>
    </xdr:sp>
    <xdr:clientData/>
  </xdr:twoCellAnchor>
  <xdr:twoCellAnchor>
    <xdr:from>
      <xdr:col>9</xdr:col>
      <xdr:colOff>350481</xdr:colOff>
      <xdr:row>37</xdr:row>
      <xdr:rowOff>47542</xdr:rowOff>
    </xdr:from>
    <xdr:to>
      <xdr:col>15</xdr:col>
      <xdr:colOff>267480</xdr:colOff>
      <xdr:row>39</xdr:row>
      <xdr:rowOff>48953</xdr:rowOff>
    </xdr:to>
    <xdr:sp macro="" textlink="">
      <xdr:nvSpPr>
        <xdr:cNvPr id="56" name="TextBox 55">
          <a:extLst>
            <a:ext uri="{FF2B5EF4-FFF2-40B4-BE49-F238E27FC236}">
              <a16:creationId xmlns:a16="http://schemas.microsoft.com/office/drawing/2014/main" id="{778FF6FA-AD05-4D46-BB64-EE1B4C61537A}"/>
            </a:ext>
          </a:extLst>
        </xdr:cNvPr>
        <xdr:cNvSpPr txBox="1"/>
      </xdr:nvSpPr>
      <xdr:spPr>
        <a:xfrm>
          <a:off x="5820552" y="6760399"/>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ATTRITION BY AGE GROUP</a:t>
          </a:r>
        </a:p>
      </xdr:txBody>
    </xdr:sp>
    <xdr:clientData/>
  </xdr:twoCellAnchor>
  <xdr:twoCellAnchor>
    <xdr:from>
      <xdr:col>15</xdr:col>
      <xdr:colOff>484726</xdr:colOff>
      <xdr:row>37</xdr:row>
      <xdr:rowOff>38471</xdr:rowOff>
    </xdr:from>
    <xdr:to>
      <xdr:col>21</xdr:col>
      <xdr:colOff>401726</xdr:colOff>
      <xdr:row>39</xdr:row>
      <xdr:rowOff>39882</xdr:rowOff>
    </xdr:to>
    <xdr:sp macro="" textlink="">
      <xdr:nvSpPr>
        <xdr:cNvPr id="57" name="TextBox 56">
          <a:extLst>
            <a:ext uri="{FF2B5EF4-FFF2-40B4-BE49-F238E27FC236}">
              <a16:creationId xmlns:a16="http://schemas.microsoft.com/office/drawing/2014/main" id="{086394D8-AA69-4FC9-8D4B-F8E4FE77DCB7}"/>
            </a:ext>
          </a:extLst>
        </xdr:cNvPr>
        <xdr:cNvSpPr txBox="1"/>
      </xdr:nvSpPr>
      <xdr:spPr>
        <a:xfrm>
          <a:off x="9601512" y="6751328"/>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ATTRITION BY MARITAL STATUS</a:t>
          </a:r>
        </a:p>
      </xdr:txBody>
    </xdr:sp>
    <xdr:clientData/>
  </xdr:twoCellAnchor>
  <xdr:twoCellAnchor>
    <xdr:from>
      <xdr:col>22</xdr:col>
      <xdr:colOff>149071</xdr:colOff>
      <xdr:row>37</xdr:row>
      <xdr:rowOff>47542</xdr:rowOff>
    </xdr:from>
    <xdr:to>
      <xdr:col>28</xdr:col>
      <xdr:colOff>66071</xdr:colOff>
      <xdr:row>39</xdr:row>
      <xdr:rowOff>48953</xdr:rowOff>
    </xdr:to>
    <xdr:sp macro="" textlink="">
      <xdr:nvSpPr>
        <xdr:cNvPr id="58" name="TextBox 57">
          <a:extLst>
            <a:ext uri="{FF2B5EF4-FFF2-40B4-BE49-F238E27FC236}">
              <a16:creationId xmlns:a16="http://schemas.microsoft.com/office/drawing/2014/main" id="{F4D530FB-7415-4DE5-B3B3-FF94391C56B5}"/>
            </a:ext>
          </a:extLst>
        </xdr:cNvPr>
        <xdr:cNvSpPr txBox="1"/>
      </xdr:nvSpPr>
      <xdr:spPr>
        <a:xfrm>
          <a:off x="13520357" y="6760399"/>
          <a:ext cx="3563714" cy="364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solidFill>
                <a:srgbClr val="C00000"/>
              </a:solidFill>
              <a:latin typeface="Arial Narrow" panose="020B0606020202030204" pitchFamily="34" charset="0"/>
            </a:rPr>
            <a:t>FILTER</a:t>
          </a:r>
          <a:r>
            <a:rPr lang="en-IN" sz="2000" b="1" u="sng" baseline="0">
              <a:solidFill>
                <a:srgbClr val="C00000"/>
              </a:solidFill>
              <a:latin typeface="Arial Narrow" panose="020B0606020202030204" pitchFamily="34" charset="0"/>
            </a:rPr>
            <a:t> PANEL</a:t>
          </a:r>
        </a:p>
      </xdr:txBody>
    </xdr:sp>
    <xdr:clientData/>
  </xdr:twoCellAnchor>
  <xdr:twoCellAnchor>
    <xdr:from>
      <xdr:col>19</xdr:col>
      <xdr:colOff>422031</xdr:colOff>
      <xdr:row>4</xdr:row>
      <xdr:rowOff>152401</xdr:rowOff>
    </xdr:from>
    <xdr:to>
      <xdr:col>21</xdr:col>
      <xdr:colOff>423985</xdr:colOff>
      <xdr:row>12</xdr:row>
      <xdr:rowOff>11723</xdr:rowOff>
    </xdr:to>
    <xdr:sp macro="" textlink="">
      <xdr:nvSpPr>
        <xdr:cNvPr id="59" name="TextBox 58">
          <a:extLst>
            <a:ext uri="{FF2B5EF4-FFF2-40B4-BE49-F238E27FC236}">
              <a16:creationId xmlns:a16="http://schemas.microsoft.com/office/drawing/2014/main" id="{CE0990F8-8006-6ED0-FD94-85A562CD5769}"/>
            </a:ext>
          </a:extLst>
        </xdr:cNvPr>
        <xdr:cNvSpPr txBox="1"/>
      </xdr:nvSpPr>
      <xdr:spPr>
        <a:xfrm>
          <a:off x="12004431" y="902678"/>
          <a:ext cx="1221154" cy="1359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500" b="1">
              <a:solidFill>
                <a:srgbClr val="C00000"/>
              </a:solidFill>
            </a:rPr>
            <a:t>JOB</a:t>
          </a:r>
        </a:p>
        <a:p>
          <a:pPr algn="ctr"/>
          <a:r>
            <a:rPr lang="en-IN" sz="1500" b="1">
              <a:solidFill>
                <a:srgbClr val="C00000"/>
              </a:solidFill>
            </a:rPr>
            <a:t>SATISFATION</a:t>
          </a:r>
        </a:p>
        <a:p>
          <a:pPr algn="ctr"/>
          <a:r>
            <a:rPr lang="en-IN" sz="1500" b="1">
              <a:solidFill>
                <a:srgbClr val="C00000"/>
              </a:solidFill>
            </a:rPr>
            <a:t>RATING</a:t>
          </a:r>
        </a:p>
      </xdr:txBody>
    </xdr:sp>
    <xdr:clientData/>
  </xdr:twoCellAnchor>
  <xdr:twoCellAnchor editAs="oneCell">
    <xdr:from>
      <xdr:col>18</xdr:col>
      <xdr:colOff>269631</xdr:colOff>
      <xdr:row>7</xdr:row>
      <xdr:rowOff>-1</xdr:rowOff>
    </xdr:from>
    <xdr:to>
      <xdr:col>19</xdr:col>
      <xdr:colOff>384032</xdr:colOff>
      <xdr:row>10</xdr:row>
      <xdr:rowOff>66030</xdr:rowOff>
    </xdr:to>
    <xdr:pic>
      <xdr:nvPicPr>
        <xdr:cNvPr id="61" name="Picture 60">
          <a:extLst>
            <a:ext uri="{FF2B5EF4-FFF2-40B4-BE49-F238E27FC236}">
              <a16:creationId xmlns:a16="http://schemas.microsoft.com/office/drawing/2014/main" id="{42BE8755-C3E2-2191-B456-F8556BAF6339}"/>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1242431" y="1312984"/>
          <a:ext cx="724001" cy="628738"/>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0.18621</cdr:x>
      <cdr:y>0.10233</cdr:y>
    </cdr:from>
    <cdr:to>
      <cdr:x>0.81379</cdr:x>
      <cdr:y>0.89767</cdr:y>
    </cdr:to>
    <cdr:sp macro="" textlink="">
      <cdr:nvSpPr>
        <cdr:cNvPr id="2" name="TextBox 1">
          <a:extLst xmlns:a="http://schemas.openxmlformats.org/drawingml/2006/main">
            <a:ext uri="{FF2B5EF4-FFF2-40B4-BE49-F238E27FC236}">
              <a16:creationId xmlns:a16="http://schemas.microsoft.com/office/drawing/2014/main" id="{EAF21598-1525-6C48-2DD9-A5B6E3288078}"/>
            </a:ext>
          </a:extLst>
        </cdr:cNvPr>
        <cdr:cNvSpPr txBox="1"/>
      </cdr:nvSpPr>
      <cdr:spPr>
        <a:xfrm xmlns:a="http://schemas.openxmlformats.org/drawingml/2006/main">
          <a:off x="271309" y="117647"/>
          <a:ext cx="914400" cy="914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0.18621</cdr:x>
      <cdr:y>0.10233</cdr:y>
    </cdr:from>
    <cdr:to>
      <cdr:x>0.81379</cdr:x>
      <cdr:y>0.89767</cdr:y>
    </cdr:to>
    <cdr:sp macro="" textlink="">
      <cdr:nvSpPr>
        <cdr:cNvPr id="3" name="TextBox 2">
          <a:extLst xmlns:a="http://schemas.openxmlformats.org/drawingml/2006/main">
            <a:ext uri="{FF2B5EF4-FFF2-40B4-BE49-F238E27FC236}">
              <a16:creationId xmlns:a16="http://schemas.microsoft.com/office/drawing/2014/main" id="{821EFFB7-C508-A714-F120-8EF603F26BFC}"/>
            </a:ext>
          </a:extLst>
        </cdr:cNvPr>
        <cdr:cNvSpPr txBox="1"/>
      </cdr:nvSpPr>
      <cdr:spPr>
        <a:xfrm xmlns:a="http://schemas.openxmlformats.org/drawingml/2006/main">
          <a:off x="271309" y="117647"/>
          <a:ext cx="914400" cy="914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0.19882</cdr:x>
      <cdr:y>0.22613</cdr:y>
    </cdr:from>
    <cdr:to>
      <cdr:x>0.8134</cdr:x>
      <cdr:y>0.75063</cdr:y>
    </cdr:to>
    <cdr:sp macro="" textlink="rating!$C$9">
      <cdr:nvSpPr>
        <cdr:cNvPr id="4" name="TextBox 3">
          <a:extLst xmlns:a="http://schemas.openxmlformats.org/drawingml/2006/main">
            <a:ext uri="{FF2B5EF4-FFF2-40B4-BE49-F238E27FC236}">
              <a16:creationId xmlns:a16="http://schemas.microsoft.com/office/drawing/2014/main" id="{171240C5-4967-FE7B-7CD6-ADE646C2010E}"/>
            </a:ext>
          </a:extLst>
        </cdr:cNvPr>
        <cdr:cNvSpPr txBox="1"/>
      </cdr:nvSpPr>
      <cdr:spPr>
        <a:xfrm xmlns:a="http://schemas.openxmlformats.org/drawingml/2006/main">
          <a:off x="288464" y="269108"/>
          <a:ext cx="891702" cy="624192"/>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8AEDCF6-3BB5-4B08-A893-E5824790DB3F}" type="TxLink">
            <a:rPr lang="en-US" sz="2500" b="1" i="0" u="none" strike="noStrike" kern="1200">
              <a:solidFill>
                <a:srgbClr val="000000"/>
              </a:solidFill>
              <a:latin typeface="Aptos Narrow"/>
            </a:rPr>
            <a:pPr algn="ctr"/>
            <a:t>2.7</a:t>
          </a:fld>
          <a:endParaRPr lang="en-IN" sz="2500" b="1" kern="1200"/>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HANU%20SURYAVANSHI\Desktop\HR%20ANALYASTIC\HR-Employee-Attrition.xlsx" TargetMode="External"/><Relationship Id="rId1" Type="http://schemas.openxmlformats.org/officeDocument/2006/relationships/externalLinkPath" Target="/Users/BHANU%20SURYAVANSHI/Desktop/HR%20ANALYASTIC/HR-Employee-Attri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R-Employee-Attrition"/>
      <sheetName val="DASHBOARD"/>
      <sheetName val="KPI&quot;s"/>
      <sheetName val="EDUCATION WIES"/>
      <sheetName val="CHARTS"/>
      <sheetName val="SLICER "/>
    </sheetNames>
    <sheetDataSet>
      <sheetData sheetId="0" refreshError="1"/>
      <sheetData sheetId="1" refreshError="1"/>
      <sheetData sheetId="2"/>
      <sheetData sheetId="3" refreshError="1"/>
      <sheetData sheetId="4"/>
      <sheetData sheetId="5"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ANU SURYAVANSHI" refreshedDate="46064.637849537037" createdVersion="8" refreshedVersion="8" minRefreshableVersion="3" recordCount="1470" xr:uid="{D4A81832-5625-425F-AD30-D3AB8BF51943}">
  <cacheSource type="worksheet">
    <worksheetSource ref="A1:AK1471" sheet="HR-Employee-Attrition"/>
  </cacheSource>
  <cacheFields count="37">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ount="5">
        <n v="2"/>
        <n v="1"/>
        <n v="4"/>
        <n v="3"/>
        <n v="5"/>
      </sharedItems>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value" numFmtId="0">
      <sharedItems containsSemiMixedTypes="0" containsString="0" containsNumber="1" containsInteger="1" minValue="0" maxValue="1"/>
    </cacheField>
    <cacheField name="Age_band" numFmtId="0">
      <sharedItems count="5">
        <s v="35-44"/>
        <s v="45-54"/>
        <s v="25-34"/>
        <s v="OVER 55"/>
        <s v="UNDER 25"/>
      </sharedItems>
    </cacheField>
  </cacheFields>
  <extLst>
    <ext xmlns:x14="http://schemas.microsoft.com/office/spreadsheetml/2009/9/main" uri="{725AE2AE-9491-48be-B2B4-4EB974FC3084}">
      <x14:pivotCacheDefinition pivotCacheId="18038151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x v="0"/>
    <x v="0"/>
    <n v="1"/>
    <n v="1"/>
    <n v="2"/>
    <x v="0"/>
    <n v="94"/>
    <n v="3"/>
    <n v="2"/>
    <x v="0"/>
    <n v="4"/>
    <x v="0"/>
    <n v="5993"/>
    <n v="19479"/>
    <n v="8"/>
    <s v="Y"/>
    <s v="Yes"/>
    <n v="11"/>
    <n v="3"/>
    <n v="1"/>
    <n v="80"/>
    <n v="0"/>
    <n v="8"/>
    <n v="0"/>
    <n v="1"/>
    <n v="6"/>
    <n v="4"/>
    <n v="0"/>
    <n v="5"/>
    <n v="1"/>
    <x v="0"/>
  </r>
  <r>
    <n v="49"/>
    <x v="1"/>
    <s v="Travel_Frequently"/>
    <n v="279"/>
    <x v="1"/>
    <n v="8"/>
    <x v="1"/>
    <x v="0"/>
    <n v="1"/>
    <n v="2"/>
    <n v="3"/>
    <x v="1"/>
    <n v="61"/>
    <n v="2"/>
    <n v="2"/>
    <x v="1"/>
    <n v="2"/>
    <x v="1"/>
    <n v="5130"/>
    <n v="24907"/>
    <n v="1"/>
    <s v="Y"/>
    <s v="No"/>
    <n v="23"/>
    <n v="4"/>
    <n v="4"/>
    <n v="80"/>
    <n v="1"/>
    <n v="10"/>
    <n v="3"/>
    <n v="3"/>
    <n v="10"/>
    <n v="7"/>
    <n v="1"/>
    <n v="7"/>
    <n v="0"/>
    <x v="1"/>
  </r>
  <r>
    <n v="37"/>
    <x v="0"/>
    <s v="Travel_Rarely"/>
    <n v="1373"/>
    <x v="1"/>
    <n v="2"/>
    <x v="0"/>
    <x v="1"/>
    <n v="1"/>
    <n v="4"/>
    <n v="4"/>
    <x v="1"/>
    <n v="92"/>
    <n v="2"/>
    <n v="1"/>
    <x v="2"/>
    <n v="3"/>
    <x v="0"/>
    <n v="2090"/>
    <n v="2396"/>
    <n v="6"/>
    <s v="Y"/>
    <s v="Yes"/>
    <n v="15"/>
    <n v="3"/>
    <n v="2"/>
    <n v="80"/>
    <n v="0"/>
    <n v="7"/>
    <n v="3"/>
    <n v="3"/>
    <n v="0"/>
    <n v="0"/>
    <n v="0"/>
    <n v="0"/>
    <n v="1"/>
    <x v="0"/>
  </r>
  <r>
    <n v="33"/>
    <x v="1"/>
    <s v="Travel_Frequently"/>
    <n v="1392"/>
    <x v="1"/>
    <n v="3"/>
    <x v="2"/>
    <x v="0"/>
    <n v="1"/>
    <n v="5"/>
    <n v="4"/>
    <x v="0"/>
    <n v="56"/>
    <n v="3"/>
    <n v="1"/>
    <x v="1"/>
    <n v="3"/>
    <x v="1"/>
    <n v="2909"/>
    <n v="23159"/>
    <n v="1"/>
    <s v="Y"/>
    <s v="Yes"/>
    <n v="11"/>
    <n v="3"/>
    <n v="3"/>
    <n v="80"/>
    <n v="0"/>
    <n v="8"/>
    <n v="3"/>
    <n v="3"/>
    <n v="8"/>
    <n v="7"/>
    <n v="3"/>
    <n v="0"/>
    <n v="0"/>
    <x v="2"/>
  </r>
  <r>
    <n v="27"/>
    <x v="1"/>
    <s v="Travel_Rarely"/>
    <n v="591"/>
    <x v="1"/>
    <n v="2"/>
    <x v="1"/>
    <x v="2"/>
    <n v="1"/>
    <n v="7"/>
    <n v="1"/>
    <x v="1"/>
    <n v="40"/>
    <n v="3"/>
    <n v="1"/>
    <x v="2"/>
    <n v="2"/>
    <x v="1"/>
    <n v="3468"/>
    <n v="16632"/>
    <n v="9"/>
    <s v="Y"/>
    <s v="No"/>
    <n v="12"/>
    <n v="3"/>
    <n v="4"/>
    <n v="80"/>
    <n v="1"/>
    <n v="6"/>
    <n v="3"/>
    <n v="3"/>
    <n v="2"/>
    <n v="2"/>
    <n v="2"/>
    <n v="2"/>
    <n v="0"/>
    <x v="2"/>
  </r>
  <r>
    <n v="32"/>
    <x v="1"/>
    <s v="Travel_Frequently"/>
    <n v="1005"/>
    <x v="1"/>
    <n v="2"/>
    <x v="0"/>
    <x v="0"/>
    <n v="1"/>
    <n v="8"/>
    <n v="4"/>
    <x v="1"/>
    <n v="79"/>
    <n v="3"/>
    <n v="1"/>
    <x v="2"/>
    <n v="4"/>
    <x v="0"/>
    <n v="3068"/>
    <n v="11864"/>
    <n v="0"/>
    <s v="Y"/>
    <s v="No"/>
    <n v="13"/>
    <n v="3"/>
    <n v="3"/>
    <n v="80"/>
    <n v="0"/>
    <n v="8"/>
    <n v="2"/>
    <n v="2"/>
    <n v="7"/>
    <n v="7"/>
    <n v="3"/>
    <n v="6"/>
    <n v="0"/>
    <x v="2"/>
  </r>
  <r>
    <n v="59"/>
    <x v="1"/>
    <s v="Travel_Rarely"/>
    <n v="1324"/>
    <x v="1"/>
    <n v="3"/>
    <x v="3"/>
    <x v="2"/>
    <n v="1"/>
    <n v="10"/>
    <n v="3"/>
    <x v="0"/>
    <n v="81"/>
    <n v="4"/>
    <n v="1"/>
    <x v="2"/>
    <n v="1"/>
    <x v="1"/>
    <n v="2670"/>
    <n v="9964"/>
    <n v="4"/>
    <s v="Y"/>
    <s v="Yes"/>
    <n v="20"/>
    <n v="4"/>
    <n v="1"/>
    <n v="80"/>
    <n v="3"/>
    <n v="12"/>
    <n v="3"/>
    <n v="2"/>
    <n v="1"/>
    <n v="0"/>
    <n v="0"/>
    <n v="0"/>
    <n v="0"/>
    <x v="3"/>
  </r>
  <r>
    <n v="30"/>
    <x v="1"/>
    <s v="Travel_Rarely"/>
    <n v="1358"/>
    <x v="1"/>
    <n v="24"/>
    <x v="1"/>
    <x v="0"/>
    <n v="1"/>
    <n v="11"/>
    <n v="4"/>
    <x v="1"/>
    <n v="67"/>
    <n v="3"/>
    <n v="1"/>
    <x v="2"/>
    <n v="3"/>
    <x v="2"/>
    <n v="2693"/>
    <n v="13335"/>
    <n v="1"/>
    <s v="Y"/>
    <s v="No"/>
    <n v="22"/>
    <n v="4"/>
    <n v="2"/>
    <n v="80"/>
    <n v="1"/>
    <n v="1"/>
    <n v="2"/>
    <n v="3"/>
    <n v="1"/>
    <n v="0"/>
    <n v="0"/>
    <n v="0"/>
    <n v="0"/>
    <x v="2"/>
  </r>
  <r>
    <n v="38"/>
    <x v="1"/>
    <s v="Travel_Frequently"/>
    <n v="216"/>
    <x v="1"/>
    <n v="23"/>
    <x v="3"/>
    <x v="0"/>
    <n v="1"/>
    <n v="12"/>
    <n v="4"/>
    <x v="1"/>
    <n v="44"/>
    <n v="2"/>
    <n v="3"/>
    <x v="3"/>
    <n v="3"/>
    <x v="0"/>
    <n v="9526"/>
    <n v="8787"/>
    <n v="0"/>
    <s v="Y"/>
    <s v="No"/>
    <n v="21"/>
    <n v="4"/>
    <n v="2"/>
    <n v="80"/>
    <n v="0"/>
    <n v="10"/>
    <n v="2"/>
    <n v="3"/>
    <n v="9"/>
    <n v="7"/>
    <n v="1"/>
    <n v="8"/>
    <n v="0"/>
    <x v="0"/>
  </r>
  <r>
    <n v="36"/>
    <x v="1"/>
    <s v="Travel_Rarely"/>
    <n v="1299"/>
    <x v="1"/>
    <n v="27"/>
    <x v="3"/>
    <x v="2"/>
    <n v="1"/>
    <n v="13"/>
    <n v="3"/>
    <x v="1"/>
    <n v="94"/>
    <n v="3"/>
    <n v="2"/>
    <x v="4"/>
    <n v="3"/>
    <x v="1"/>
    <n v="5237"/>
    <n v="16577"/>
    <n v="6"/>
    <s v="Y"/>
    <s v="No"/>
    <n v="13"/>
    <n v="3"/>
    <n v="2"/>
    <n v="80"/>
    <n v="2"/>
    <n v="17"/>
    <n v="3"/>
    <n v="2"/>
    <n v="7"/>
    <n v="7"/>
    <n v="7"/>
    <n v="7"/>
    <n v="0"/>
    <x v="0"/>
  </r>
  <r>
    <n v="35"/>
    <x v="1"/>
    <s v="Travel_Rarely"/>
    <n v="809"/>
    <x v="1"/>
    <n v="16"/>
    <x v="3"/>
    <x v="2"/>
    <n v="1"/>
    <n v="14"/>
    <n v="1"/>
    <x v="1"/>
    <n v="84"/>
    <n v="4"/>
    <n v="1"/>
    <x v="2"/>
    <n v="2"/>
    <x v="1"/>
    <n v="2426"/>
    <n v="16479"/>
    <n v="0"/>
    <s v="Y"/>
    <s v="No"/>
    <n v="13"/>
    <n v="3"/>
    <n v="3"/>
    <n v="80"/>
    <n v="1"/>
    <n v="6"/>
    <n v="5"/>
    <n v="3"/>
    <n v="5"/>
    <n v="4"/>
    <n v="0"/>
    <n v="3"/>
    <n v="0"/>
    <x v="0"/>
  </r>
  <r>
    <n v="29"/>
    <x v="1"/>
    <s v="Travel_Rarely"/>
    <n v="153"/>
    <x v="1"/>
    <n v="15"/>
    <x v="0"/>
    <x v="0"/>
    <n v="1"/>
    <n v="15"/>
    <n v="4"/>
    <x v="0"/>
    <n v="49"/>
    <n v="2"/>
    <n v="2"/>
    <x v="2"/>
    <n v="3"/>
    <x v="0"/>
    <n v="4193"/>
    <n v="12682"/>
    <n v="0"/>
    <s v="Y"/>
    <s v="Yes"/>
    <n v="12"/>
    <n v="3"/>
    <n v="4"/>
    <n v="80"/>
    <n v="0"/>
    <n v="10"/>
    <n v="3"/>
    <n v="3"/>
    <n v="9"/>
    <n v="5"/>
    <n v="0"/>
    <n v="8"/>
    <n v="0"/>
    <x v="2"/>
  </r>
  <r>
    <n v="31"/>
    <x v="1"/>
    <s v="Travel_Rarely"/>
    <n v="670"/>
    <x v="1"/>
    <n v="26"/>
    <x v="1"/>
    <x v="0"/>
    <n v="1"/>
    <n v="16"/>
    <n v="1"/>
    <x v="1"/>
    <n v="31"/>
    <n v="3"/>
    <n v="1"/>
    <x v="1"/>
    <n v="3"/>
    <x v="2"/>
    <n v="2911"/>
    <n v="15170"/>
    <n v="1"/>
    <s v="Y"/>
    <s v="No"/>
    <n v="17"/>
    <n v="3"/>
    <n v="4"/>
    <n v="80"/>
    <n v="1"/>
    <n v="5"/>
    <n v="1"/>
    <n v="2"/>
    <n v="5"/>
    <n v="2"/>
    <n v="4"/>
    <n v="3"/>
    <n v="0"/>
    <x v="2"/>
  </r>
  <r>
    <n v="34"/>
    <x v="1"/>
    <s v="Travel_Rarely"/>
    <n v="1346"/>
    <x v="1"/>
    <n v="19"/>
    <x v="0"/>
    <x v="2"/>
    <n v="1"/>
    <n v="18"/>
    <n v="2"/>
    <x v="1"/>
    <n v="93"/>
    <n v="3"/>
    <n v="1"/>
    <x v="2"/>
    <n v="4"/>
    <x v="2"/>
    <n v="2661"/>
    <n v="8758"/>
    <n v="0"/>
    <s v="Y"/>
    <s v="No"/>
    <n v="11"/>
    <n v="3"/>
    <n v="3"/>
    <n v="80"/>
    <n v="1"/>
    <n v="3"/>
    <n v="2"/>
    <n v="3"/>
    <n v="2"/>
    <n v="2"/>
    <n v="1"/>
    <n v="2"/>
    <n v="0"/>
    <x v="2"/>
  </r>
  <r>
    <n v="28"/>
    <x v="0"/>
    <s v="Travel_Rarely"/>
    <n v="103"/>
    <x v="1"/>
    <n v="24"/>
    <x v="3"/>
    <x v="0"/>
    <n v="1"/>
    <n v="19"/>
    <n v="3"/>
    <x v="1"/>
    <n v="50"/>
    <n v="2"/>
    <n v="1"/>
    <x v="2"/>
    <n v="3"/>
    <x v="0"/>
    <n v="2028"/>
    <n v="12947"/>
    <n v="5"/>
    <s v="Y"/>
    <s v="Yes"/>
    <n v="14"/>
    <n v="3"/>
    <n v="2"/>
    <n v="80"/>
    <n v="0"/>
    <n v="6"/>
    <n v="4"/>
    <n v="3"/>
    <n v="4"/>
    <n v="2"/>
    <n v="0"/>
    <n v="3"/>
    <n v="1"/>
    <x v="2"/>
  </r>
  <r>
    <n v="29"/>
    <x v="1"/>
    <s v="Travel_Rarely"/>
    <n v="1389"/>
    <x v="1"/>
    <n v="21"/>
    <x v="2"/>
    <x v="0"/>
    <n v="1"/>
    <n v="20"/>
    <n v="2"/>
    <x v="0"/>
    <n v="51"/>
    <n v="4"/>
    <n v="3"/>
    <x v="3"/>
    <n v="1"/>
    <x v="2"/>
    <n v="9980"/>
    <n v="10195"/>
    <n v="1"/>
    <s v="Y"/>
    <s v="No"/>
    <n v="11"/>
    <n v="3"/>
    <n v="3"/>
    <n v="80"/>
    <n v="1"/>
    <n v="10"/>
    <n v="1"/>
    <n v="3"/>
    <n v="10"/>
    <n v="9"/>
    <n v="8"/>
    <n v="8"/>
    <n v="0"/>
    <x v="2"/>
  </r>
  <r>
    <n v="32"/>
    <x v="1"/>
    <s v="Travel_Rarely"/>
    <n v="334"/>
    <x v="1"/>
    <n v="5"/>
    <x v="0"/>
    <x v="0"/>
    <n v="1"/>
    <n v="21"/>
    <n v="1"/>
    <x v="1"/>
    <n v="80"/>
    <n v="4"/>
    <n v="1"/>
    <x v="1"/>
    <n v="2"/>
    <x v="2"/>
    <n v="3298"/>
    <n v="15053"/>
    <n v="0"/>
    <s v="Y"/>
    <s v="Yes"/>
    <n v="12"/>
    <n v="3"/>
    <n v="4"/>
    <n v="80"/>
    <n v="2"/>
    <n v="7"/>
    <n v="5"/>
    <n v="2"/>
    <n v="6"/>
    <n v="2"/>
    <n v="0"/>
    <n v="5"/>
    <n v="0"/>
    <x v="2"/>
  </r>
  <r>
    <n v="22"/>
    <x v="1"/>
    <s v="Non-Travel"/>
    <n v="1123"/>
    <x v="1"/>
    <n v="16"/>
    <x v="0"/>
    <x v="2"/>
    <n v="1"/>
    <n v="22"/>
    <n v="4"/>
    <x v="1"/>
    <n v="96"/>
    <n v="4"/>
    <n v="1"/>
    <x v="2"/>
    <n v="4"/>
    <x v="2"/>
    <n v="2935"/>
    <n v="7324"/>
    <n v="1"/>
    <s v="Y"/>
    <s v="Yes"/>
    <n v="13"/>
    <n v="3"/>
    <n v="2"/>
    <n v="80"/>
    <n v="2"/>
    <n v="1"/>
    <n v="2"/>
    <n v="2"/>
    <n v="1"/>
    <n v="0"/>
    <n v="0"/>
    <n v="0"/>
    <n v="0"/>
    <x v="4"/>
  </r>
  <r>
    <n v="53"/>
    <x v="1"/>
    <s v="Travel_Rarely"/>
    <n v="1219"/>
    <x v="0"/>
    <n v="2"/>
    <x v="2"/>
    <x v="0"/>
    <n v="1"/>
    <n v="23"/>
    <n v="1"/>
    <x v="0"/>
    <n v="78"/>
    <n v="2"/>
    <n v="4"/>
    <x v="5"/>
    <n v="4"/>
    <x v="1"/>
    <n v="15427"/>
    <n v="22021"/>
    <n v="2"/>
    <s v="Y"/>
    <s v="No"/>
    <n v="16"/>
    <n v="3"/>
    <n v="3"/>
    <n v="80"/>
    <n v="0"/>
    <n v="31"/>
    <n v="3"/>
    <n v="3"/>
    <n v="25"/>
    <n v="8"/>
    <n v="3"/>
    <n v="7"/>
    <n v="0"/>
    <x v="1"/>
  </r>
  <r>
    <n v="38"/>
    <x v="1"/>
    <s v="Travel_Rarely"/>
    <n v="371"/>
    <x v="1"/>
    <n v="2"/>
    <x v="3"/>
    <x v="0"/>
    <n v="1"/>
    <n v="24"/>
    <n v="4"/>
    <x v="1"/>
    <n v="45"/>
    <n v="3"/>
    <n v="1"/>
    <x v="1"/>
    <n v="4"/>
    <x v="0"/>
    <n v="3944"/>
    <n v="4306"/>
    <n v="5"/>
    <s v="Y"/>
    <s v="Yes"/>
    <n v="11"/>
    <n v="3"/>
    <n v="3"/>
    <n v="80"/>
    <n v="0"/>
    <n v="6"/>
    <n v="3"/>
    <n v="3"/>
    <n v="3"/>
    <n v="2"/>
    <n v="1"/>
    <n v="2"/>
    <n v="0"/>
    <x v="0"/>
  </r>
  <r>
    <n v="24"/>
    <x v="1"/>
    <s v="Non-Travel"/>
    <n v="673"/>
    <x v="1"/>
    <n v="11"/>
    <x v="0"/>
    <x v="1"/>
    <n v="1"/>
    <n v="26"/>
    <n v="1"/>
    <x v="0"/>
    <n v="96"/>
    <n v="4"/>
    <n v="2"/>
    <x v="3"/>
    <n v="3"/>
    <x v="2"/>
    <n v="4011"/>
    <n v="8232"/>
    <n v="0"/>
    <s v="Y"/>
    <s v="No"/>
    <n v="18"/>
    <n v="3"/>
    <n v="4"/>
    <n v="80"/>
    <n v="1"/>
    <n v="5"/>
    <n v="5"/>
    <n v="2"/>
    <n v="4"/>
    <n v="2"/>
    <n v="1"/>
    <n v="3"/>
    <n v="0"/>
    <x v="4"/>
  </r>
  <r>
    <n v="36"/>
    <x v="0"/>
    <s v="Travel_Rarely"/>
    <n v="1218"/>
    <x v="0"/>
    <n v="9"/>
    <x v="2"/>
    <x v="0"/>
    <n v="1"/>
    <n v="27"/>
    <n v="3"/>
    <x v="1"/>
    <n v="82"/>
    <n v="2"/>
    <n v="1"/>
    <x v="6"/>
    <n v="1"/>
    <x v="0"/>
    <n v="3407"/>
    <n v="6986"/>
    <n v="7"/>
    <s v="Y"/>
    <s v="No"/>
    <n v="23"/>
    <n v="4"/>
    <n v="2"/>
    <n v="80"/>
    <n v="0"/>
    <n v="10"/>
    <n v="4"/>
    <n v="3"/>
    <n v="5"/>
    <n v="3"/>
    <n v="0"/>
    <n v="3"/>
    <n v="1"/>
    <x v="0"/>
  </r>
  <r>
    <n v="34"/>
    <x v="1"/>
    <s v="Travel_Rarely"/>
    <n v="419"/>
    <x v="1"/>
    <n v="7"/>
    <x v="2"/>
    <x v="0"/>
    <n v="1"/>
    <n v="28"/>
    <n v="1"/>
    <x v="0"/>
    <n v="53"/>
    <n v="3"/>
    <n v="3"/>
    <x v="7"/>
    <n v="2"/>
    <x v="0"/>
    <n v="11994"/>
    <n v="21293"/>
    <n v="0"/>
    <s v="Y"/>
    <s v="No"/>
    <n v="11"/>
    <n v="3"/>
    <n v="3"/>
    <n v="80"/>
    <n v="0"/>
    <n v="13"/>
    <n v="4"/>
    <n v="3"/>
    <n v="12"/>
    <n v="6"/>
    <n v="2"/>
    <n v="11"/>
    <n v="0"/>
    <x v="2"/>
  </r>
  <r>
    <n v="21"/>
    <x v="1"/>
    <s v="Travel_Rarely"/>
    <n v="391"/>
    <x v="1"/>
    <n v="15"/>
    <x v="0"/>
    <x v="0"/>
    <n v="1"/>
    <n v="30"/>
    <n v="3"/>
    <x v="1"/>
    <n v="96"/>
    <n v="3"/>
    <n v="1"/>
    <x v="1"/>
    <n v="4"/>
    <x v="0"/>
    <n v="1232"/>
    <n v="19281"/>
    <n v="1"/>
    <s v="Y"/>
    <s v="No"/>
    <n v="14"/>
    <n v="3"/>
    <n v="4"/>
    <n v="80"/>
    <n v="0"/>
    <n v="0"/>
    <n v="6"/>
    <n v="3"/>
    <n v="0"/>
    <n v="0"/>
    <n v="0"/>
    <n v="0"/>
    <n v="0"/>
    <x v="4"/>
  </r>
  <r>
    <n v="34"/>
    <x v="0"/>
    <s v="Travel_Rarely"/>
    <n v="699"/>
    <x v="1"/>
    <n v="6"/>
    <x v="1"/>
    <x v="2"/>
    <n v="1"/>
    <n v="31"/>
    <n v="2"/>
    <x v="1"/>
    <n v="83"/>
    <n v="3"/>
    <n v="1"/>
    <x v="1"/>
    <n v="1"/>
    <x v="0"/>
    <n v="2960"/>
    <n v="17102"/>
    <n v="2"/>
    <s v="Y"/>
    <s v="No"/>
    <n v="11"/>
    <n v="3"/>
    <n v="3"/>
    <n v="80"/>
    <n v="0"/>
    <n v="8"/>
    <n v="2"/>
    <n v="3"/>
    <n v="4"/>
    <n v="2"/>
    <n v="1"/>
    <n v="3"/>
    <n v="1"/>
    <x v="2"/>
  </r>
  <r>
    <n v="53"/>
    <x v="1"/>
    <s v="Travel_Rarely"/>
    <n v="1282"/>
    <x v="1"/>
    <n v="5"/>
    <x v="3"/>
    <x v="1"/>
    <n v="1"/>
    <n v="32"/>
    <n v="3"/>
    <x v="0"/>
    <n v="58"/>
    <n v="3"/>
    <n v="5"/>
    <x v="5"/>
    <n v="3"/>
    <x v="2"/>
    <n v="19094"/>
    <n v="10735"/>
    <n v="4"/>
    <s v="Y"/>
    <s v="No"/>
    <n v="11"/>
    <n v="3"/>
    <n v="4"/>
    <n v="80"/>
    <n v="1"/>
    <n v="26"/>
    <n v="3"/>
    <n v="2"/>
    <n v="14"/>
    <n v="13"/>
    <n v="4"/>
    <n v="8"/>
    <n v="0"/>
    <x v="1"/>
  </r>
  <r>
    <n v="32"/>
    <x v="0"/>
    <s v="Travel_Frequently"/>
    <n v="1125"/>
    <x v="1"/>
    <n v="16"/>
    <x v="1"/>
    <x v="0"/>
    <n v="1"/>
    <n v="33"/>
    <n v="2"/>
    <x v="0"/>
    <n v="72"/>
    <n v="1"/>
    <n v="1"/>
    <x v="1"/>
    <n v="1"/>
    <x v="0"/>
    <n v="3919"/>
    <n v="4681"/>
    <n v="1"/>
    <s v="Y"/>
    <s v="Yes"/>
    <n v="22"/>
    <n v="4"/>
    <n v="2"/>
    <n v="80"/>
    <n v="0"/>
    <n v="10"/>
    <n v="5"/>
    <n v="3"/>
    <n v="10"/>
    <n v="2"/>
    <n v="6"/>
    <n v="7"/>
    <n v="1"/>
    <x v="2"/>
  </r>
  <r>
    <n v="42"/>
    <x v="1"/>
    <s v="Travel_Rarely"/>
    <n v="691"/>
    <x v="0"/>
    <n v="8"/>
    <x v="2"/>
    <x v="3"/>
    <n v="1"/>
    <n v="35"/>
    <n v="3"/>
    <x v="1"/>
    <n v="48"/>
    <n v="3"/>
    <n v="2"/>
    <x v="0"/>
    <n v="2"/>
    <x v="1"/>
    <n v="6825"/>
    <n v="21173"/>
    <n v="0"/>
    <s v="Y"/>
    <s v="No"/>
    <n v="11"/>
    <n v="3"/>
    <n v="4"/>
    <n v="80"/>
    <n v="1"/>
    <n v="10"/>
    <n v="2"/>
    <n v="3"/>
    <n v="9"/>
    <n v="7"/>
    <n v="4"/>
    <n v="2"/>
    <n v="0"/>
    <x v="0"/>
  </r>
  <r>
    <n v="44"/>
    <x v="1"/>
    <s v="Travel_Rarely"/>
    <n v="477"/>
    <x v="1"/>
    <n v="7"/>
    <x v="2"/>
    <x v="2"/>
    <n v="1"/>
    <n v="36"/>
    <n v="1"/>
    <x v="0"/>
    <n v="42"/>
    <n v="2"/>
    <n v="3"/>
    <x v="4"/>
    <n v="4"/>
    <x v="1"/>
    <n v="10248"/>
    <n v="2094"/>
    <n v="3"/>
    <s v="Y"/>
    <s v="No"/>
    <n v="14"/>
    <n v="3"/>
    <n v="4"/>
    <n v="80"/>
    <n v="1"/>
    <n v="24"/>
    <n v="4"/>
    <n v="3"/>
    <n v="22"/>
    <n v="6"/>
    <n v="5"/>
    <n v="17"/>
    <n v="0"/>
    <x v="0"/>
  </r>
  <r>
    <n v="46"/>
    <x v="1"/>
    <s v="Travel_Rarely"/>
    <n v="705"/>
    <x v="0"/>
    <n v="2"/>
    <x v="2"/>
    <x v="3"/>
    <n v="1"/>
    <n v="38"/>
    <n v="2"/>
    <x v="0"/>
    <n v="83"/>
    <n v="3"/>
    <n v="5"/>
    <x v="5"/>
    <n v="1"/>
    <x v="0"/>
    <n v="18947"/>
    <n v="22822"/>
    <n v="3"/>
    <s v="Y"/>
    <s v="No"/>
    <n v="12"/>
    <n v="3"/>
    <n v="4"/>
    <n v="80"/>
    <n v="0"/>
    <n v="22"/>
    <n v="2"/>
    <n v="2"/>
    <n v="2"/>
    <n v="2"/>
    <n v="2"/>
    <n v="1"/>
    <n v="0"/>
    <x v="1"/>
  </r>
  <r>
    <n v="33"/>
    <x v="1"/>
    <s v="Travel_Rarely"/>
    <n v="924"/>
    <x v="1"/>
    <n v="2"/>
    <x v="3"/>
    <x v="2"/>
    <n v="1"/>
    <n v="39"/>
    <n v="3"/>
    <x v="1"/>
    <n v="78"/>
    <n v="3"/>
    <n v="1"/>
    <x v="2"/>
    <n v="4"/>
    <x v="0"/>
    <n v="2496"/>
    <n v="6670"/>
    <n v="4"/>
    <s v="Y"/>
    <s v="No"/>
    <n v="11"/>
    <n v="3"/>
    <n v="4"/>
    <n v="80"/>
    <n v="0"/>
    <n v="7"/>
    <n v="3"/>
    <n v="3"/>
    <n v="1"/>
    <n v="1"/>
    <n v="0"/>
    <n v="0"/>
    <n v="0"/>
    <x v="2"/>
  </r>
  <r>
    <n v="44"/>
    <x v="1"/>
    <s v="Travel_Rarely"/>
    <n v="1459"/>
    <x v="1"/>
    <n v="10"/>
    <x v="2"/>
    <x v="1"/>
    <n v="1"/>
    <n v="40"/>
    <n v="4"/>
    <x v="1"/>
    <n v="41"/>
    <n v="3"/>
    <n v="2"/>
    <x v="4"/>
    <n v="4"/>
    <x v="1"/>
    <n v="6465"/>
    <n v="19121"/>
    <n v="2"/>
    <s v="Y"/>
    <s v="Yes"/>
    <n v="13"/>
    <n v="3"/>
    <n v="4"/>
    <n v="80"/>
    <n v="0"/>
    <n v="9"/>
    <n v="5"/>
    <n v="4"/>
    <n v="4"/>
    <n v="2"/>
    <n v="1"/>
    <n v="3"/>
    <n v="0"/>
    <x v="0"/>
  </r>
  <r>
    <n v="30"/>
    <x v="1"/>
    <s v="Travel_Rarely"/>
    <n v="125"/>
    <x v="1"/>
    <n v="9"/>
    <x v="0"/>
    <x v="2"/>
    <n v="1"/>
    <n v="41"/>
    <n v="4"/>
    <x v="1"/>
    <n v="83"/>
    <n v="2"/>
    <n v="1"/>
    <x v="2"/>
    <n v="3"/>
    <x v="0"/>
    <n v="2206"/>
    <n v="16117"/>
    <n v="1"/>
    <s v="Y"/>
    <s v="No"/>
    <n v="13"/>
    <n v="3"/>
    <n v="1"/>
    <n v="80"/>
    <n v="0"/>
    <n v="10"/>
    <n v="5"/>
    <n v="3"/>
    <n v="10"/>
    <n v="0"/>
    <n v="1"/>
    <n v="8"/>
    <n v="0"/>
    <x v="2"/>
  </r>
  <r>
    <n v="39"/>
    <x v="0"/>
    <s v="Travel_Rarely"/>
    <n v="895"/>
    <x v="0"/>
    <n v="5"/>
    <x v="3"/>
    <x v="4"/>
    <n v="1"/>
    <n v="42"/>
    <n v="4"/>
    <x v="1"/>
    <n v="56"/>
    <n v="3"/>
    <n v="2"/>
    <x v="6"/>
    <n v="4"/>
    <x v="1"/>
    <n v="2086"/>
    <n v="3335"/>
    <n v="3"/>
    <s v="Y"/>
    <s v="No"/>
    <n v="14"/>
    <n v="3"/>
    <n v="3"/>
    <n v="80"/>
    <n v="1"/>
    <n v="19"/>
    <n v="6"/>
    <n v="4"/>
    <n v="1"/>
    <n v="0"/>
    <n v="0"/>
    <n v="0"/>
    <n v="1"/>
    <x v="0"/>
  </r>
  <r>
    <n v="24"/>
    <x v="0"/>
    <s v="Travel_Rarely"/>
    <n v="813"/>
    <x v="1"/>
    <n v="1"/>
    <x v="3"/>
    <x v="2"/>
    <n v="1"/>
    <n v="45"/>
    <n v="2"/>
    <x v="1"/>
    <n v="61"/>
    <n v="3"/>
    <n v="1"/>
    <x v="1"/>
    <n v="4"/>
    <x v="1"/>
    <n v="2293"/>
    <n v="3020"/>
    <n v="2"/>
    <s v="Y"/>
    <s v="Yes"/>
    <n v="16"/>
    <n v="3"/>
    <n v="1"/>
    <n v="80"/>
    <n v="1"/>
    <n v="6"/>
    <n v="2"/>
    <n v="2"/>
    <n v="2"/>
    <n v="0"/>
    <n v="2"/>
    <n v="0"/>
    <n v="1"/>
    <x v="4"/>
  </r>
  <r>
    <n v="43"/>
    <x v="1"/>
    <s v="Travel_Rarely"/>
    <n v="1273"/>
    <x v="1"/>
    <n v="2"/>
    <x v="0"/>
    <x v="2"/>
    <n v="1"/>
    <n v="46"/>
    <n v="4"/>
    <x v="0"/>
    <n v="72"/>
    <n v="4"/>
    <n v="1"/>
    <x v="1"/>
    <n v="3"/>
    <x v="2"/>
    <n v="2645"/>
    <n v="21923"/>
    <n v="1"/>
    <s v="Y"/>
    <s v="No"/>
    <n v="12"/>
    <n v="3"/>
    <n v="4"/>
    <n v="80"/>
    <n v="2"/>
    <n v="6"/>
    <n v="3"/>
    <n v="2"/>
    <n v="5"/>
    <n v="3"/>
    <n v="1"/>
    <n v="4"/>
    <n v="0"/>
    <x v="0"/>
  </r>
  <r>
    <n v="50"/>
    <x v="0"/>
    <s v="Travel_Rarely"/>
    <n v="869"/>
    <x v="0"/>
    <n v="3"/>
    <x v="0"/>
    <x v="3"/>
    <n v="1"/>
    <n v="47"/>
    <n v="1"/>
    <x v="1"/>
    <n v="86"/>
    <n v="2"/>
    <n v="1"/>
    <x v="6"/>
    <n v="3"/>
    <x v="1"/>
    <n v="2683"/>
    <n v="3810"/>
    <n v="1"/>
    <s v="Y"/>
    <s v="Yes"/>
    <n v="14"/>
    <n v="3"/>
    <n v="3"/>
    <n v="80"/>
    <n v="0"/>
    <n v="3"/>
    <n v="2"/>
    <n v="3"/>
    <n v="3"/>
    <n v="2"/>
    <n v="0"/>
    <n v="2"/>
    <n v="1"/>
    <x v="1"/>
  </r>
  <r>
    <n v="35"/>
    <x v="1"/>
    <s v="Travel_Rarely"/>
    <n v="890"/>
    <x v="0"/>
    <n v="2"/>
    <x v="3"/>
    <x v="3"/>
    <n v="1"/>
    <n v="49"/>
    <n v="4"/>
    <x v="0"/>
    <n v="97"/>
    <n v="3"/>
    <n v="1"/>
    <x v="6"/>
    <n v="4"/>
    <x v="1"/>
    <n v="2014"/>
    <n v="9687"/>
    <n v="1"/>
    <s v="Y"/>
    <s v="No"/>
    <n v="13"/>
    <n v="3"/>
    <n v="1"/>
    <n v="80"/>
    <n v="0"/>
    <n v="2"/>
    <n v="3"/>
    <n v="3"/>
    <n v="2"/>
    <n v="2"/>
    <n v="2"/>
    <n v="2"/>
    <n v="0"/>
    <x v="0"/>
  </r>
  <r>
    <n v="36"/>
    <x v="1"/>
    <s v="Travel_Rarely"/>
    <n v="852"/>
    <x v="1"/>
    <n v="5"/>
    <x v="2"/>
    <x v="0"/>
    <n v="1"/>
    <n v="51"/>
    <n v="2"/>
    <x v="0"/>
    <n v="82"/>
    <n v="2"/>
    <n v="1"/>
    <x v="1"/>
    <n v="1"/>
    <x v="1"/>
    <n v="3419"/>
    <n v="13072"/>
    <n v="9"/>
    <s v="Y"/>
    <s v="Yes"/>
    <n v="14"/>
    <n v="3"/>
    <n v="4"/>
    <n v="80"/>
    <n v="1"/>
    <n v="6"/>
    <n v="3"/>
    <n v="4"/>
    <n v="1"/>
    <n v="1"/>
    <n v="0"/>
    <n v="0"/>
    <n v="0"/>
    <x v="0"/>
  </r>
  <r>
    <n v="33"/>
    <x v="1"/>
    <s v="Travel_Frequently"/>
    <n v="1141"/>
    <x v="0"/>
    <n v="1"/>
    <x v="3"/>
    <x v="0"/>
    <n v="1"/>
    <n v="52"/>
    <n v="3"/>
    <x v="0"/>
    <n v="42"/>
    <n v="4"/>
    <n v="2"/>
    <x v="0"/>
    <n v="1"/>
    <x v="1"/>
    <n v="5376"/>
    <n v="3193"/>
    <n v="2"/>
    <s v="Y"/>
    <s v="No"/>
    <n v="19"/>
    <n v="3"/>
    <n v="1"/>
    <n v="80"/>
    <n v="2"/>
    <n v="10"/>
    <n v="3"/>
    <n v="3"/>
    <n v="5"/>
    <n v="3"/>
    <n v="1"/>
    <n v="3"/>
    <n v="0"/>
    <x v="2"/>
  </r>
  <r>
    <n v="35"/>
    <x v="1"/>
    <s v="Travel_Rarely"/>
    <n v="464"/>
    <x v="1"/>
    <n v="4"/>
    <x v="0"/>
    <x v="1"/>
    <n v="1"/>
    <n v="53"/>
    <n v="3"/>
    <x v="1"/>
    <n v="75"/>
    <n v="3"/>
    <n v="1"/>
    <x v="2"/>
    <n v="4"/>
    <x v="2"/>
    <n v="1951"/>
    <n v="10910"/>
    <n v="1"/>
    <s v="Y"/>
    <s v="No"/>
    <n v="12"/>
    <n v="3"/>
    <n v="3"/>
    <n v="80"/>
    <n v="1"/>
    <n v="1"/>
    <n v="3"/>
    <n v="3"/>
    <n v="1"/>
    <n v="0"/>
    <n v="0"/>
    <n v="0"/>
    <n v="0"/>
    <x v="0"/>
  </r>
  <r>
    <n v="27"/>
    <x v="1"/>
    <s v="Travel_Rarely"/>
    <n v="1240"/>
    <x v="1"/>
    <n v="2"/>
    <x v="2"/>
    <x v="0"/>
    <n v="1"/>
    <n v="54"/>
    <n v="4"/>
    <x v="0"/>
    <n v="33"/>
    <n v="3"/>
    <n v="1"/>
    <x v="2"/>
    <n v="1"/>
    <x v="2"/>
    <n v="2341"/>
    <n v="19715"/>
    <n v="1"/>
    <s v="Y"/>
    <s v="No"/>
    <n v="13"/>
    <n v="3"/>
    <n v="4"/>
    <n v="80"/>
    <n v="1"/>
    <n v="1"/>
    <n v="6"/>
    <n v="3"/>
    <n v="1"/>
    <n v="0"/>
    <n v="0"/>
    <n v="0"/>
    <n v="0"/>
    <x v="2"/>
  </r>
  <r>
    <n v="26"/>
    <x v="0"/>
    <s v="Travel_Rarely"/>
    <n v="1357"/>
    <x v="1"/>
    <n v="25"/>
    <x v="3"/>
    <x v="0"/>
    <n v="1"/>
    <n v="55"/>
    <n v="1"/>
    <x v="1"/>
    <n v="48"/>
    <n v="1"/>
    <n v="1"/>
    <x v="2"/>
    <n v="3"/>
    <x v="0"/>
    <n v="2293"/>
    <n v="10558"/>
    <n v="1"/>
    <s v="Y"/>
    <s v="No"/>
    <n v="12"/>
    <n v="3"/>
    <n v="3"/>
    <n v="80"/>
    <n v="0"/>
    <n v="1"/>
    <n v="2"/>
    <n v="2"/>
    <n v="1"/>
    <n v="0"/>
    <n v="0"/>
    <n v="1"/>
    <n v="1"/>
    <x v="2"/>
  </r>
  <r>
    <n v="27"/>
    <x v="1"/>
    <s v="Travel_Frequently"/>
    <n v="994"/>
    <x v="0"/>
    <n v="8"/>
    <x v="3"/>
    <x v="0"/>
    <n v="1"/>
    <n v="56"/>
    <n v="4"/>
    <x v="1"/>
    <n v="37"/>
    <n v="3"/>
    <n v="3"/>
    <x v="0"/>
    <n v="3"/>
    <x v="0"/>
    <n v="8726"/>
    <n v="2975"/>
    <n v="1"/>
    <s v="Y"/>
    <s v="No"/>
    <n v="15"/>
    <n v="3"/>
    <n v="4"/>
    <n v="80"/>
    <n v="0"/>
    <n v="9"/>
    <n v="0"/>
    <n v="3"/>
    <n v="9"/>
    <n v="8"/>
    <n v="1"/>
    <n v="7"/>
    <n v="0"/>
    <x v="2"/>
  </r>
  <r>
    <n v="30"/>
    <x v="1"/>
    <s v="Travel_Frequently"/>
    <n v="721"/>
    <x v="1"/>
    <n v="1"/>
    <x v="0"/>
    <x v="2"/>
    <n v="1"/>
    <n v="57"/>
    <n v="3"/>
    <x v="0"/>
    <n v="58"/>
    <n v="3"/>
    <n v="2"/>
    <x v="2"/>
    <n v="4"/>
    <x v="0"/>
    <n v="4011"/>
    <n v="10781"/>
    <n v="1"/>
    <s v="Y"/>
    <s v="No"/>
    <n v="23"/>
    <n v="4"/>
    <n v="4"/>
    <n v="80"/>
    <n v="0"/>
    <n v="12"/>
    <n v="2"/>
    <n v="3"/>
    <n v="12"/>
    <n v="8"/>
    <n v="3"/>
    <n v="7"/>
    <n v="0"/>
    <x v="2"/>
  </r>
  <r>
    <n v="41"/>
    <x v="0"/>
    <s v="Travel_Rarely"/>
    <n v="1360"/>
    <x v="1"/>
    <n v="12"/>
    <x v="3"/>
    <x v="4"/>
    <n v="1"/>
    <n v="58"/>
    <n v="2"/>
    <x v="0"/>
    <n v="49"/>
    <n v="3"/>
    <n v="5"/>
    <x v="7"/>
    <n v="3"/>
    <x v="1"/>
    <n v="19545"/>
    <n v="16280"/>
    <n v="1"/>
    <s v="Y"/>
    <s v="No"/>
    <n v="12"/>
    <n v="3"/>
    <n v="4"/>
    <n v="80"/>
    <n v="0"/>
    <n v="23"/>
    <n v="0"/>
    <n v="3"/>
    <n v="22"/>
    <n v="15"/>
    <n v="15"/>
    <n v="8"/>
    <n v="1"/>
    <x v="0"/>
  </r>
  <r>
    <n v="34"/>
    <x v="1"/>
    <s v="Non-Travel"/>
    <n v="1065"/>
    <x v="0"/>
    <n v="23"/>
    <x v="2"/>
    <x v="3"/>
    <n v="1"/>
    <n v="60"/>
    <n v="2"/>
    <x v="1"/>
    <n v="72"/>
    <n v="3"/>
    <n v="2"/>
    <x v="0"/>
    <n v="3"/>
    <x v="0"/>
    <n v="4568"/>
    <n v="10034"/>
    <n v="0"/>
    <s v="Y"/>
    <s v="No"/>
    <n v="20"/>
    <n v="4"/>
    <n v="3"/>
    <n v="80"/>
    <n v="0"/>
    <n v="10"/>
    <n v="2"/>
    <n v="3"/>
    <n v="9"/>
    <n v="5"/>
    <n v="8"/>
    <n v="7"/>
    <n v="0"/>
    <x v="2"/>
  </r>
  <r>
    <n v="37"/>
    <x v="1"/>
    <s v="Travel_Rarely"/>
    <n v="408"/>
    <x v="1"/>
    <n v="19"/>
    <x v="0"/>
    <x v="0"/>
    <n v="1"/>
    <n v="61"/>
    <n v="2"/>
    <x v="1"/>
    <n v="73"/>
    <n v="3"/>
    <n v="1"/>
    <x v="1"/>
    <n v="2"/>
    <x v="1"/>
    <n v="3022"/>
    <n v="10227"/>
    <n v="4"/>
    <s v="Y"/>
    <s v="No"/>
    <n v="21"/>
    <n v="4"/>
    <n v="1"/>
    <n v="80"/>
    <n v="0"/>
    <n v="8"/>
    <n v="1"/>
    <n v="3"/>
    <n v="1"/>
    <n v="0"/>
    <n v="0"/>
    <n v="0"/>
    <n v="0"/>
    <x v="0"/>
  </r>
  <r>
    <n v="46"/>
    <x v="1"/>
    <s v="Travel_Frequently"/>
    <n v="1211"/>
    <x v="0"/>
    <n v="5"/>
    <x v="2"/>
    <x v="3"/>
    <n v="1"/>
    <n v="62"/>
    <n v="1"/>
    <x v="1"/>
    <n v="98"/>
    <n v="3"/>
    <n v="2"/>
    <x v="0"/>
    <n v="4"/>
    <x v="0"/>
    <n v="5772"/>
    <n v="20445"/>
    <n v="4"/>
    <s v="Y"/>
    <s v="Yes"/>
    <n v="21"/>
    <n v="4"/>
    <n v="3"/>
    <n v="80"/>
    <n v="0"/>
    <n v="14"/>
    <n v="4"/>
    <n v="3"/>
    <n v="9"/>
    <n v="6"/>
    <n v="0"/>
    <n v="8"/>
    <n v="0"/>
    <x v="1"/>
  </r>
  <r>
    <n v="35"/>
    <x v="1"/>
    <s v="Travel_Rarely"/>
    <n v="1229"/>
    <x v="1"/>
    <n v="8"/>
    <x v="1"/>
    <x v="0"/>
    <n v="1"/>
    <n v="63"/>
    <n v="4"/>
    <x v="1"/>
    <n v="36"/>
    <n v="4"/>
    <n v="1"/>
    <x v="2"/>
    <n v="4"/>
    <x v="1"/>
    <n v="2269"/>
    <n v="4892"/>
    <n v="1"/>
    <s v="Y"/>
    <s v="No"/>
    <n v="19"/>
    <n v="3"/>
    <n v="4"/>
    <n v="80"/>
    <n v="0"/>
    <n v="1"/>
    <n v="2"/>
    <n v="3"/>
    <n v="1"/>
    <n v="0"/>
    <n v="0"/>
    <n v="1"/>
    <n v="0"/>
    <x v="0"/>
  </r>
  <r>
    <n v="48"/>
    <x v="0"/>
    <s v="Travel_Rarely"/>
    <n v="626"/>
    <x v="1"/>
    <n v="1"/>
    <x v="0"/>
    <x v="0"/>
    <n v="1"/>
    <n v="64"/>
    <n v="1"/>
    <x v="1"/>
    <n v="98"/>
    <n v="2"/>
    <n v="3"/>
    <x v="2"/>
    <n v="3"/>
    <x v="0"/>
    <n v="5381"/>
    <n v="19294"/>
    <n v="9"/>
    <s v="Y"/>
    <s v="Yes"/>
    <n v="13"/>
    <n v="3"/>
    <n v="4"/>
    <n v="80"/>
    <n v="0"/>
    <n v="23"/>
    <n v="2"/>
    <n v="3"/>
    <n v="1"/>
    <n v="0"/>
    <n v="0"/>
    <n v="0"/>
    <n v="1"/>
    <x v="1"/>
  </r>
  <r>
    <n v="28"/>
    <x v="0"/>
    <s v="Travel_Rarely"/>
    <n v="1434"/>
    <x v="1"/>
    <n v="5"/>
    <x v="2"/>
    <x v="4"/>
    <n v="1"/>
    <n v="65"/>
    <n v="3"/>
    <x v="1"/>
    <n v="50"/>
    <n v="3"/>
    <n v="1"/>
    <x v="2"/>
    <n v="3"/>
    <x v="0"/>
    <n v="3441"/>
    <n v="11179"/>
    <n v="1"/>
    <s v="Y"/>
    <s v="Yes"/>
    <n v="13"/>
    <n v="3"/>
    <n v="3"/>
    <n v="80"/>
    <n v="0"/>
    <n v="2"/>
    <n v="3"/>
    <n v="2"/>
    <n v="2"/>
    <n v="2"/>
    <n v="2"/>
    <n v="2"/>
    <n v="1"/>
    <x v="2"/>
  </r>
  <r>
    <n v="44"/>
    <x v="1"/>
    <s v="Travel_Rarely"/>
    <n v="1488"/>
    <x v="0"/>
    <n v="1"/>
    <x v="4"/>
    <x v="3"/>
    <n v="1"/>
    <n v="68"/>
    <n v="2"/>
    <x v="0"/>
    <n v="75"/>
    <n v="3"/>
    <n v="2"/>
    <x v="0"/>
    <n v="1"/>
    <x v="2"/>
    <n v="5454"/>
    <n v="4009"/>
    <n v="5"/>
    <s v="Y"/>
    <s v="Yes"/>
    <n v="21"/>
    <n v="4"/>
    <n v="3"/>
    <n v="80"/>
    <n v="1"/>
    <n v="9"/>
    <n v="2"/>
    <n v="2"/>
    <n v="4"/>
    <n v="3"/>
    <n v="1"/>
    <n v="3"/>
    <n v="0"/>
    <x v="0"/>
  </r>
  <r>
    <n v="35"/>
    <x v="1"/>
    <s v="Non-Travel"/>
    <n v="1097"/>
    <x v="1"/>
    <n v="11"/>
    <x v="0"/>
    <x v="2"/>
    <n v="1"/>
    <n v="70"/>
    <n v="3"/>
    <x v="1"/>
    <n v="79"/>
    <n v="2"/>
    <n v="3"/>
    <x v="4"/>
    <n v="1"/>
    <x v="1"/>
    <n v="9884"/>
    <n v="8302"/>
    <n v="2"/>
    <s v="Y"/>
    <s v="Yes"/>
    <n v="13"/>
    <n v="3"/>
    <n v="3"/>
    <n v="80"/>
    <n v="1"/>
    <n v="10"/>
    <n v="3"/>
    <n v="3"/>
    <n v="4"/>
    <n v="0"/>
    <n v="2"/>
    <n v="3"/>
    <n v="0"/>
    <x v="0"/>
  </r>
  <r>
    <n v="26"/>
    <x v="1"/>
    <s v="Travel_Rarely"/>
    <n v="1443"/>
    <x v="0"/>
    <n v="23"/>
    <x v="3"/>
    <x v="3"/>
    <n v="1"/>
    <n v="72"/>
    <n v="3"/>
    <x v="0"/>
    <n v="47"/>
    <n v="2"/>
    <n v="2"/>
    <x v="0"/>
    <n v="4"/>
    <x v="1"/>
    <n v="4157"/>
    <n v="21436"/>
    <n v="7"/>
    <s v="Y"/>
    <s v="Yes"/>
    <n v="19"/>
    <n v="3"/>
    <n v="3"/>
    <n v="80"/>
    <n v="1"/>
    <n v="5"/>
    <n v="2"/>
    <n v="2"/>
    <n v="2"/>
    <n v="2"/>
    <n v="0"/>
    <n v="0"/>
    <n v="0"/>
    <x v="2"/>
  </r>
  <r>
    <n v="33"/>
    <x v="1"/>
    <s v="Travel_Frequently"/>
    <n v="515"/>
    <x v="1"/>
    <n v="1"/>
    <x v="0"/>
    <x v="0"/>
    <n v="1"/>
    <n v="73"/>
    <n v="1"/>
    <x v="0"/>
    <n v="98"/>
    <n v="3"/>
    <n v="3"/>
    <x v="7"/>
    <n v="4"/>
    <x v="0"/>
    <n v="13458"/>
    <n v="15146"/>
    <n v="1"/>
    <s v="Y"/>
    <s v="Yes"/>
    <n v="12"/>
    <n v="3"/>
    <n v="3"/>
    <n v="80"/>
    <n v="0"/>
    <n v="15"/>
    <n v="1"/>
    <n v="3"/>
    <n v="15"/>
    <n v="14"/>
    <n v="8"/>
    <n v="12"/>
    <n v="0"/>
    <x v="2"/>
  </r>
  <r>
    <n v="35"/>
    <x v="1"/>
    <s v="Travel_Frequently"/>
    <n v="853"/>
    <x v="0"/>
    <n v="18"/>
    <x v="4"/>
    <x v="0"/>
    <n v="1"/>
    <n v="74"/>
    <n v="2"/>
    <x v="1"/>
    <n v="71"/>
    <n v="3"/>
    <n v="3"/>
    <x v="0"/>
    <n v="1"/>
    <x v="1"/>
    <n v="9069"/>
    <n v="11031"/>
    <n v="1"/>
    <s v="Y"/>
    <s v="No"/>
    <n v="22"/>
    <n v="4"/>
    <n v="4"/>
    <n v="80"/>
    <n v="1"/>
    <n v="9"/>
    <n v="3"/>
    <n v="2"/>
    <n v="9"/>
    <n v="8"/>
    <n v="1"/>
    <n v="8"/>
    <n v="0"/>
    <x v="0"/>
  </r>
  <r>
    <n v="35"/>
    <x v="1"/>
    <s v="Travel_Rarely"/>
    <n v="1142"/>
    <x v="1"/>
    <n v="23"/>
    <x v="2"/>
    <x v="2"/>
    <n v="1"/>
    <n v="75"/>
    <n v="3"/>
    <x v="0"/>
    <n v="30"/>
    <n v="3"/>
    <n v="1"/>
    <x v="2"/>
    <n v="1"/>
    <x v="1"/>
    <n v="4014"/>
    <n v="16002"/>
    <n v="3"/>
    <s v="Y"/>
    <s v="Yes"/>
    <n v="15"/>
    <n v="3"/>
    <n v="3"/>
    <n v="80"/>
    <n v="1"/>
    <n v="4"/>
    <n v="3"/>
    <n v="3"/>
    <n v="2"/>
    <n v="2"/>
    <n v="2"/>
    <n v="2"/>
    <n v="0"/>
    <x v="0"/>
  </r>
  <r>
    <n v="31"/>
    <x v="1"/>
    <s v="Travel_Rarely"/>
    <n v="655"/>
    <x v="1"/>
    <n v="7"/>
    <x v="2"/>
    <x v="0"/>
    <n v="1"/>
    <n v="76"/>
    <n v="4"/>
    <x v="1"/>
    <n v="48"/>
    <n v="3"/>
    <n v="2"/>
    <x v="2"/>
    <n v="4"/>
    <x v="2"/>
    <n v="5915"/>
    <n v="9528"/>
    <n v="3"/>
    <s v="Y"/>
    <s v="No"/>
    <n v="22"/>
    <n v="4"/>
    <n v="4"/>
    <n v="80"/>
    <n v="1"/>
    <n v="10"/>
    <n v="3"/>
    <n v="2"/>
    <n v="7"/>
    <n v="7"/>
    <n v="1"/>
    <n v="7"/>
    <n v="0"/>
    <x v="2"/>
  </r>
  <r>
    <n v="37"/>
    <x v="1"/>
    <s v="Travel_Rarely"/>
    <n v="1115"/>
    <x v="1"/>
    <n v="1"/>
    <x v="2"/>
    <x v="0"/>
    <n v="1"/>
    <n v="77"/>
    <n v="1"/>
    <x v="1"/>
    <n v="51"/>
    <n v="2"/>
    <n v="2"/>
    <x v="3"/>
    <n v="3"/>
    <x v="2"/>
    <n v="5993"/>
    <n v="2689"/>
    <n v="1"/>
    <s v="Y"/>
    <s v="No"/>
    <n v="18"/>
    <n v="3"/>
    <n v="3"/>
    <n v="80"/>
    <n v="1"/>
    <n v="7"/>
    <n v="2"/>
    <n v="4"/>
    <n v="7"/>
    <n v="5"/>
    <n v="0"/>
    <n v="7"/>
    <n v="0"/>
    <x v="0"/>
  </r>
  <r>
    <n v="32"/>
    <x v="1"/>
    <s v="Travel_Rarely"/>
    <n v="427"/>
    <x v="1"/>
    <n v="1"/>
    <x v="3"/>
    <x v="2"/>
    <n v="1"/>
    <n v="78"/>
    <n v="1"/>
    <x v="1"/>
    <n v="33"/>
    <n v="3"/>
    <n v="2"/>
    <x v="3"/>
    <n v="4"/>
    <x v="1"/>
    <n v="6162"/>
    <n v="10877"/>
    <n v="1"/>
    <s v="Y"/>
    <s v="Yes"/>
    <n v="22"/>
    <n v="4"/>
    <n v="2"/>
    <n v="80"/>
    <n v="1"/>
    <n v="9"/>
    <n v="3"/>
    <n v="3"/>
    <n v="9"/>
    <n v="8"/>
    <n v="7"/>
    <n v="8"/>
    <n v="0"/>
    <x v="2"/>
  </r>
  <r>
    <n v="38"/>
    <x v="1"/>
    <s v="Travel_Frequently"/>
    <n v="653"/>
    <x v="1"/>
    <n v="29"/>
    <x v="4"/>
    <x v="0"/>
    <n v="1"/>
    <n v="79"/>
    <n v="4"/>
    <x v="0"/>
    <n v="50"/>
    <n v="3"/>
    <n v="2"/>
    <x v="2"/>
    <n v="4"/>
    <x v="0"/>
    <n v="2406"/>
    <n v="5456"/>
    <n v="1"/>
    <s v="Y"/>
    <s v="No"/>
    <n v="11"/>
    <n v="3"/>
    <n v="4"/>
    <n v="80"/>
    <n v="0"/>
    <n v="10"/>
    <n v="2"/>
    <n v="3"/>
    <n v="10"/>
    <n v="3"/>
    <n v="9"/>
    <n v="9"/>
    <n v="0"/>
    <x v="0"/>
  </r>
  <r>
    <n v="50"/>
    <x v="1"/>
    <s v="Travel_Rarely"/>
    <n v="989"/>
    <x v="1"/>
    <n v="7"/>
    <x v="0"/>
    <x v="2"/>
    <n v="1"/>
    <n v="80"/>
    <n v="2"/>
    <x v="0"/>
    <n v="43"/>
    <n v="2"/>
    <n v="5"/>
    <x v="7"/>
    <n v="3"/>
    <x v="2"/>
    <n v="18740"/>
    <n v="16701"/>
    <n v="5"/>
    <s v="Y"/>
    <s v="Yes"/>
    <n v="12"/>
    <n v="3"/>
    <n v="4"/>
    <n v="80"/>
    <n v="1"/>
    <n v="29"/>
    <n v="2"/>
    <n v="2"/>
    <n v="27"/>
    <n v="3"/>
    <n v="13"/>
    <n v="8"/>
    <n v="0"/>
    <x v="1"/>
  </r>
  <r>
    <n v="59"/>
    <x v="1"/>
    <s v="Travel_Rarely"/>
    <n v="1435"/>
    <x v="0"/>
    <n v="25"/>
    <x v="3"/>
    <x v="0"/>
    <n v="1"/>
    <n v="81"/>
    <n v="1"/>
    <x v="0"/>
    <n v="99"/>
    <n v="3"/>
    <n v="3"/>
    <x v="0"/>
    <n v="1"/>
    <x v="0"/>
    <n v="7637"/>
    <n v="2354"/>
    <n v="7"/>
    <s v="Y"/>
    <s v="No"/>
    <n v="11"/>
    <n v="3"/>
    <n v="4"/>
    <n v="80"/>
    <n v="0"/>
    <n v="28"/>
    <n v="3"/>
    <n v="2"/>
    <n v="21"/>
    <n v="16"/>
    <n v="7"/>
    <n v="9"/>
    <n v="0"/>
    <x v="3"/>
  </r>
  <r>
    <n v="36"/>
    <x v="1"/>
    <s v="Travel_Rarely"/>
    <n v="1223"/>
    <x v="1"/>
    <n v="8"/>
    <x v="3"/>
    <x v="4"/>
    <n v="1"/>
    <n v="83"/>
    <n v="3"/>
    <x v="0"/>
    <n v="59"/>
    <n v="3"/>
    <n v="3"/>
    <x v="4"/>
    <n v="3"/>
    <x v="2"/>
    <n v="10096"/>
    <n v="8202"/>
    <n v="1"/>
    <s v="Y"/>
    <s v="No"/>
    <n v="13"/>
    <n v="3"/>
    <n v="2"/>
    <n v="80"/>
    <n v="3"/>
    <n v="17"/>
    <n v="2"/>
    <n v="3"/>
    <n v="17"/>
    <n v="14"/>
    <n v="12"/>
    <n v="8"/>
    <n v="0"/>
    <x v="0"/>
  </r>
  <r>
    <n v="55"/>
    <x v="1"/>
    <s v="Travel_Rarely"/>
    <n v="836"/>
    <x v="1"/>
    <n v="8"/>
    <x v="3"/>
    <x v="2"/>
    <n v="1"/>
    <n v="84"/>
    <n v="4"/>
    <x v="0"/>
    <n v="33"/>
    <n v="3"/>
    <n v="4"/>
    <x v="5"/>
    <n v="3"/>
    <x v="2"/>
    <n v="14756"/>
    <n v="19730"/>
    <n v="2"/>
    <s v="Y"/>
    <s v="Yes"/>
    <n v="14"/>
    <n v="3"/>
    <n v="3"/>
    <n v="80"/>
    <n v="3"/>
    <n v="21"/>
    <n v="2"/>
    <n v="3"/>
    <n v="5"/>
    <n v="0"/>
    <n v="0"/>
    <n v="2"/>
    <n v="0"/>
    <x v="3"/>
  </r>
  <r>
    <n v="36"/>
    <x v="1"/>
    <s v="Travel_Frequently"/>
    <n v="1195"/>
    <x v="1"/>
    <n v="11"/>
    <x v="3"/>
    <x v="0"/>
    <n v="1"/>
    <n v="85"/>
    <n v="2"/>
    <x v="1"/>
    <n v="95"/>
    <n v="2"/>
    <n v="2"/>
    <x v="3"/>
    <n v="2"/>
    <x v="0"/>
    <n v="6499"/>
    <n v="22656"/>
    <n v="1"/>
    <s v="Y"/>
    <s v="No"/>
    <n v="13"/>
    <n v="3"/>
    <n v="3"/>
    <n v="80"/>
    <n v="0"/>
    <n v="6"/>
    <n v="3"/>
    <n v="3"/>
    <n v="6"/>
    <n v="5"/>
    <n v="0"/>
    <n v="3"/>
    <n v="0"/>
    <x v="0"/>
  </r>
  <r>
    <n v="45"/>
    <x v="1"/>
    <s v="Travel_Rarely"/>
    <n v="1339"/>
    <x v="1"/>
    <n v="7"/>
    <x v="3"/>
    <x v="0"/>
    <n v="1"/>
    <n v="86"/>
    <n v="2"/>
    <x v="1"/>
    <n v="59"/>
    <n v="3"/>
    <n v="3"/>
    <x v="1"/>
    <n v="1"/>
    <x v="2"/>
    <n v="9724"/>
    <n v="18787"/>
    <n v="2"/>
    <s v="Y"/>
    <s v="No"/>
    <n v="17"/>
    <n v="3"/>
    <n v="3"/>
    <n v="80"/>
    <n v="1"/>
    <n v="25"/>
    <n v="2"/>
    <n v="3"/>
    <n v="1"/>
    <n v="0"/>
    <n v="0"/>
    <n v="0"/>
    <n v="0"/>
    <x v="1"/>
  </r>
  <r>
    <n v="35"/>
    <x v="1"/>
    <s v="Travel_Frequently"/>
    <n v="664"/>
    <x v="1"/>
    <n v="1"/>
    <x v="3"/>
    <x v="2"/>
    <n v="1"/>
    <n v="88"/>
    <n v="2"/>
    <x v="1"/>
    <n v="79"/>
    <n v="3"/>
    <n v="1"/>
    <x v="1"/>
    <n v="1"/>
    <x v="1"/>
    <n v="2194"/>
    <n v="5868"/>
    <n v="4"/>
    <s v="Y"/>
    <s v="No"/>
    <n v="13"/>
    <n v="3"/>
    <n v="4"/>
    <n v="80"/>
    <n v="1"/>
    <n v="5"/>
    <n v="2"/>
    <n v="2"/>
    <n v="3"/>
    <n v="2"/>
    <n v="1"/>
    <n v="2"/>
    <n v="0"/>
    <x v="0"/>
  </r>
  <r>
    <n v="36"/>
    <x v="0"/>
    <s v="Travel_Rarely"/>
    <n v="318"/>
    <x v="1"/>
    <n v="9"/>
    <x v="3"/>
    <x v="2"/>
    <n v="1"/>
    <n v="90"/>
    <n v="4"/>
    <x v="1"/>
    <n v="79"/>
    <n v="2"/>
    <n v="1"/>
    <x v="1"/>
    <n v="3"/>
    <x v="1"/>
    <n v="3388"/>
    <n v="21777"/>
    <n v="0"/>
    <s v="Y"/>
    <s v="Yes"/>
    <n v="17"/>
    <n v="3"/>
    <n v="1"/>
    <n v="80"/>
    <n v="1"/>
    <n v="2"/>
    <n v="0"/>
    <n v="2"/>
    <n v="1"/>
    <n v="0"/>
    <n v="0"/>
    <n v="0"/>
    <n v="1"/>
    <x v="0"/>
  </r>
  <r>
    <n v="59"/>
    <x v="1"/>
    <s v="Travel_Frequently"/>
    <n v="1225"/>
    <x v="0"/>
    <n v="1"/>
    <x v="1"/>
    <x v="0"/>
    <n v="1"/>
    <n v="91"/>
    <n v="1"/>
    <x v="0"/>
    <n v="57"/>
    <n v="2"/>
    <n v="2"/>
    <x v="0"/>
    <n v="3"/>
    <x v="0"/>
    <n v="5473"/>
    <n v="24668"/>
    <n v="7"/>
    <s v="Y"/>
    <s v="No"/>
    <n v="11"/>
    <n v="3"/>
    <n v="4"/>
    <n v="80"/>
    <n v="0"/>
    <n v="20"/>
    <n v="2"/>
    <n v="2"/>
    <n v="4"/>
    <n v="3"/>
    <n v="1"/>
    <n v="3"/>
    <n v="0"/>
    <x v="3"/>
  </r>
  <r>
    <n v="29"/>
    <x v="1"/>
    <s v="Travel_Rarely"/>
    <n v="1328"/>
    <x v="1"/>
    <n v="2"/>
    <x v="3"/>
    <x v="0"/>
    <n v="1"/>
    <n v="94"/>
    <n v="3"/>
    <x v="1"/>
    <n v="76"/>
    <n v="3"/>
    <n v="1"/>
    <x v="1"/>
    <n v="2"/>
    <x v="1"/>
    <n v="2703"/>
    <n v="4956"/>
    <n v="0"/>
    <s v="Y"/>
    <s v="No"/>
    <n v="23"/>
    <n v="4"/>
    <n v="4"/>
    <n v="80"/>
    <n v="1"/>
    <n v="6"/>
    <n v="3"/>
    <n v="3"/>
    <n v="5"/>
    <n v="4"/>
    <n v="0"/>
    <n v="4"/>
    <n v="0"/>
    <x v="2"/>
  </r>
  <r>
    <n v="31"/>
    <x v="1"/>
    <s v="Travel_Rarely"/>
    <n v="1082"/>
    <x v="1"/>
    <n v="1"/>
    <x v="2"/>
    <x v="2"/>
    <n v="1"/>
    <n v="95"/>
    <n v="3"/>
    <x v="1"/>
    <n v="87"/>
    <n v="3"/>
    <n v="1"/>
    <x v="1"/>
    <n v="2"/>
    <x v="0"/>
    <n v="2501"/>
    <n v="18775"/>
    <n v="1"/>
    <s v="Y"/>
    <s v="No"/>
    <n v="17"/>
    <n v="3"/>
    <n v="2"/>
    <n v="80"/>
    <n v="0"/>
    <n v="1"/>
    <n v="4"/>
    <n v="3"/>
    <n v="1"/>
    <n v="1"/>
    <n v="1"/>
    <n v="0"/>
    <n v="0"/>
    <x v="2"/>
  </r>
  <r>
    <n v="32"/>
    <x v="1"/>
    <s v="Travel_Rarely"/>
    <n v="548"/>
    <x v="1"/>
    <n v="1"/>
    <x v="3"/>
    <x v="0"/>
    <n v="1"/>
    <n v="96"/>
    <n v="2"/>
    <x v="1"/>
    <n v="66"/>
    <n v="3"/>
    <n v="2"/>
    <x v="1"/>
    <n v="2"/>
    <x v="1"/>
    <n v="6220"/>
    <n v="7346"/>
    <n v="1"/>
    <s v="Y"/>
    <s v="No"/>
    <n v="17"/>
    <n v="3"/>
    <n v="2"/>
    <n v="80"/>
    <n v="2"/>
    <n v="10"/>
    <n v="3"/>
    <n v="3"/>
    <n v="10"/>
    <n v="4"/>
    <n v="0"/>
    <n v="9"/>
    <n v="0"/>
    <x v="2"/>
  </r>
  <r>
    <n v="36"/>
    <x v="1"/>
    <s v="Travel_Rarely"/>
    <n v="132"/>
    <x v="1"/>
    <n v="6"/>
    <x v="3"/>
    <x v="0"/>
    <n v="1"/>
    <n v="97"/>
    <n v="2"/>
    <x v="0"/>
    <n v="55"/>
    <n v="4"/>
    <n v="1"/>
    <x v="2"/>
    <n v="4"/>
    <x v="1"/>
    <n v="3038"/>
    <n v="22002"/>
    <n v="3"/>
    <s v="Y"/>
    <s v="No"/>
    <n v="12"/>
    <n v="3"/>
    <n v="2"/>
    <n v="80"/>
    <n v="0"/>
    <n v="5"/>
    <n v="3"/>
    <n v="3"/>
    <n v="1"/>
    <n v="0"/>
    <n v="0"/>
    <n v="0"/>
    <n v="0"/>
    <x v="0"/>
  </r>
  <r>
    <n v="31"/>
    <x v="1"/>
    <s v="Travel_Rarely"/>
    <n v="746"/>
    <x v="1"/>
    <n v="8"/>
    <x v="2"/>
    <x v="0"/>
    <n v="1"/>
    <n v="98"/>
    <n v="3"/>
    <x v="0"/>
    <n v="61"/>
    <n v="3"/>
    <n v="2"/>
    <x v="3"/>
    <n v="4"/>
    <x v="0"/>
    <n v="4424"/>
    <n v="20682"/>
    <n v="1"/>
    <s v="Y"/>
    <s v="No"/>
    <n v="23"/>
    <n v="4"/>
    <n v="4"/>
    <n v="80"/>
    <n v="0"/>
    <n v="11"/>
    <n v="2"/>
    <n v="3"/>
    <n v="11"/>
    <n v="7"/>
    <n v="1"/>
    <n v="8"/>
    <n v="0"/>
    <x v="2"/>
  </r>
  <r>
    <n v="35"/>
    <x v="1"/>
    <s v="Travel_Rarely"/>
    <n v="776"/>
    <x v="0"/>
    <n v="1"/>
    <x v="2"/>
    <x v="3"/>
    <n v="1"/>
    <n v="100"/>
    <n v="3"/>
    <x v="1"/>
    <n v="32"/>
    <n v="2"/>
    <n v="2"/>
    <x v="0"/>
    <n v="1"/>
    <x v="0"/>
    <n v="4312"/>
    <n v="23016"/>
    <n v="0"/>
    <s v="Y"/>
    <s v="No"/>
    <n v="14"/>
    <n v="3"/>
    <n v="2"/>
    <n v="80"/>
    <n v="0"/>
    <n v="16"/>
    <n v="2"/>
    <n v="3"/>
    <n v="15"/>
    <n v="13"/>
    <n v="2"/>
    <n v="8"/>
    <n v="0"/>
    <x v="0"/>
  </r>
  <r>
    <n v="45"/>
    <x v="1"/>
    <s v="Travel_Rarely"/>
    <n v="193"/>
    <x v="1"/>
    <n v="6"/>
    <x v="2"/>
    <x v="1"/>
    <n v="1"/>
    <n v="101"/>
    <n v="4"/>
    <x v="1"/>
    <n v="52"/>
    <n v="3"/>
    <n v="3"/>
    <x v="7"/>
    <n v="1"/>
    <x v="1"/>
    <n v="13245"/>
    <n v="15067"/>
    <n v="4"/>
    <s v="Y"/>
    <s v="Yes"/>
    <n v="14"/>
    <n v="3"/>
    <n v="2"/>
    <n v="80"/>
    <n v="0"/>
    <n v="17"/>
    <n v="3"/>
    <n v="4"/>
    <n v="0"/>
    <n v="0"/>
    <n v="0"/>
    <n v="0"/>
    <n v="0"/>
    <x v="1"/>
  </r>
  <r>
    <n v="37"/>
    <x v="1"/>
    <s v="Travel_Rarely"/>
    <n v="397"/>
    <x v="1"/>
    <n v="7"/>
    <x v="2"/>
    <x v="2"/>
    <n v="1"/>
    <n v="102"/>
    <n v="1"/>
    <x v="1"/>
    <n v="30"/>
    <n v="3"/>
    <n v="3"/>
    <x v="7"/>
    <n v="3"/>
    <x v="0"/>
    <n v="13664"/>
    <n v="25258"/>
    <n v="4"/>
    <s v="Y"/>
    <s v="No"/>
    <n v="13"/>
    <n v="3"/>
    <n v="1"/>
    <n v="80"/>
    <n v="0"/>
    <n v="16"/>
    <n v="3"/>
    <n v="4"/>
    <n v="5"/>
    <n v="2"/>
    <n v="0"/>
    <n v="2"/>
    <n v="0"/>
    <x v="0"/>
  </r>
  <r>
    <n v="46"/>
    <x v="1"/>
    <s v="Travel_Rarely"/>
    <n v="945"/>
    <x v="2"/>
    <n v="5"/>
    <x v="0"/>
    <x v="2"/>
    <n v="1"/>
    <n v="103"/>
    <n v="2"/>
    <x v="1"/>
    <n v="80"/>
    <n v="3"/>
    <n v="2"/>
    <x v="8"/>
    <n v="2"/>
    <x v="2"/>
    <n v="5021"/>
    <n v="10425"/>
    <n v="8"/>
    <s v="Y"/>
    <s v="Yes"/>
    <n v="22"/>
    <n v="4"/>
    <n v="4"/>
    <n v="80"/>
    <n v="1"/>
    <n v="16"/>
    <n v="2"/>
    <n v="3"/>
    <n v="4"/>
    <n v="2"/>
    <n v="0"/>
    <n v="2"/>
    <n v="0"/>
    <x v="1"/>
  </r>
  <r>
    <n v="30"/>
    <x v="1"/>
    <s v="Travel_Rarely"/>
    <n v="852"/>
    <x v="1"/>
    <n v="1"/>
    <x v="1"/>
    <x v="0"/>
    <n v="1"/>
    <n v="104"/>
    <n v="4"/>
    <x v="1"/>
    <n v="55"/>
    <n v="2"/>
    <n v="2"/>
    <x v="2"/>
    <n v="4"/>
    <x v="1"/>
    <n v="5126"/>
    <n v="15998"/>
    <n v="1"/>
    <s v="Y"/>
    <s v="Yes"/>
    <n v="12"/>
    <n v="3"/>
    <n v="3"/>
    <n v="80"/>
    <n v="2"/>
    <n v="10"/>
    <n v="1"/>
    <n v="2"/>
    <n v="10"/>
    <n v="8"/>
    <n v="3"/>
    <n v="0"/>
    <n v="0"/>
    <x v="2"/>
  </r>
  <r>
    <n v="35"/>
    <x v="1"/>
    <s v="Travel_Rarely"/>
    <n v="1214"/>
    <x v="1"/>
    <n v="1"/>
    <x v="3"/>
    <x v="2"/>
    <n v="1"/>
    <n v="105"/>
    <n v="2"/>
    <x v="1"/>
    <n v="30"/>
    <n v="2"/>
    <n v="1"/>
    <x v="1"/>
    <n v="3"/>
    <x v="0"/>
    <n v="2859"/>
    <n v="26278"/>
    <n v="1"/>
    <s v="Y"/>
    <s v="No"/>
    <n v="18"/>
    <n v="3"/>
    <n v="1"/>
    <n v="80"/>
    <n v="0"/>
    <n v="6"/>
    <n v="3"/>
    <n v="3"/>
    <n v="6"/>
    <n v="4"/>
    <n v="0"/>
    <n v="4"/>
    <n v="0"/>
    <x v="0"/>
  </r>
  <r>
    <n v="55"/>
    <x v="1"/>
    <s v="Travel_Rarely"/>
    <n v="111"/>
    <x v="0"/>
    <n v="1"/>
    <x v="0"/>
    <x v="0"/>
    <n v="1"/>
    <n v="106"/>
    <n v="1"/>
    <x v="1"/>
    <n v="70"/>
    <n v="3"/>
    <n v="3"/>
    <x v="0"/>
    <n v="4"/>
    <x v="1"/>
    <n v="10239"/>
    <n v="18092"/>
    <n v="3"/>
    <s v="Y"/>
    <s v="No"/>
    <n v="14"/>
    <n v="3"/>
    <n v="4"/>
    <n v="80"/>
    <n v="1"/>
    <n v="24"/>
    <n v="4"/>
    <n v="3"/>
    <n v="1"/>
    <n v="0"/>
    <n v="1"/>
    <n v="0"/>
    <n v="0"/>
    <x v="3"/>
  </r>
  <r>
    <n v="38"/>
    <x v="1"/>
    <s v="Non-Travel"/>
    <n v="573"/>
    <x v="1"/>
    <n v="6"/>
    <x v="3"/>
    <x v="2"/>
    <n v="1"/>
    <n v="107"/>
    <n v="2"/>
    <x v="0"/>
    <n v="79"/>
    <n v="1"/>
    <n v="2"/>
    <x v="1"/>
    <n v="4"/>
    <x v="2"/>
    <n v="5329"/>
    <n v="15717"/>
    <n v="7"/>
    <s v="Y"/>
    <s v="Yes"/>
    <n v="12"/>
    <n v="3"/>
    <n v="4"/>
    <n v="80"/>
    <n v="3"/>
    <n v="17"/>
    <n v="3"/>
    <n v="3"/>
    <n v="13"/>
    <n v="11"/>
    <n v="1"/>
    <n v="9"/>
    <n v="0"/>
    <x v="0"/>
  </r>
  <r>
    <n v="34"/>
    <x v="1"/>
    <s v="Travel_Rarely"/>
    <n v="1153"/>
    <x v="1"/>
    <n v="1"/>
    <x v="0"/>
    <x v="2"/>
    <n v="1"/>
    <n v="110"/>
    <n v="1"/>
    <x v="1"/>
    <n v="94"/>
    <n v="3"/>
    <n v="2"/>
    <x v="3"/>
    <n v="2"/>
    <x v="1"/>
    <n v="4325"/>
    <n v="17736"/>
    <n v="1"/>
    <s v="Y"/>
    <s v="No"/>
    <n v="15"/>
    <n v="3"/>
    <n v="3"/>
    <n v="80"/>
    <n v="0"/>
    <n v="5"/>
    <n v="2"/>
    <n v="3"/>
    <n v="5"/>
    <n v="2"/>
    <n v="1"/>
    <n v="3"/>
    <n v="0"/>
    <x v="2"/>
  </r>
  <r>
    <n v="56"/>
    <x v="1"/>
    <s v="Travel_Rarely"/>
    <n v="1400"/>
    <x v="1"/>
    <n v="7"/>
    <x v="3"/>
    <x v="0"/>
    <n v="1"/>
    <n v="112"/>
    <n v="4"/>
    <x v="1"/>
    <n v="49"/>
    <n v="1"/>
    <n v="3"/>
    <x v="3"/>
    <n v="4"/>
    <x v="0"/>
    <n v="7260"/>
    <n v="21698"/>
    <n v="4"/>
    <s v="Y"/>
    <s v="No"/>
    <n v="11"/>
    <n v="3"/>
    <n v="1"/>
    <n v="80"/>
    <n v="0"/>
    <n v="37"/>
    <n v="3"/>
    <n v="2"/>
    <n v="6"/>
    <n v="4"/>
    <n v="0"/>
    <n v="2"/>
    <n v="0"/>
    <x v="3"/>
  </r>
  <r>
    <n v="23"/>
    <x v="1"/>
    <s v="Travel_Rarely"/>
    <n v="541"/>
    <x v="0"/>
    <n v="2"/>
    <x v="1"/>
    <x v="4"/>
    <n v="1"/>
    <n v="113"/>
    <n v="3"/>
    <x v="1"/>
    <n v="62"/>
    <n v="3"/>
    <n v="1"/>
    <x v="6"/>
    <n v="1"/>
    <x v="2"/>
    <n v="2322"/>
    <n v="9518"/>
    <n v="3"/>
    <s v="Y"/>
    <s v="No"/>
    <n v="13"/>
    <n v="3"/>
    <n v="3"/>
    <n v="80"/>
    <n v="1"/>
    <n v="3"/>
    <n v="3"/>
    <n v="3"/>
    <n v="0"/>
    <n v="0"/>
    <n v="0"/>
    <n v="0"/>
    <n v="0"/>
    <x v="4"/>
  </r>
  <r>
    <n v="51"/>
    <x v="1"/>
    <s v="Travel_Rarely"/>
    <n v="432"/>
    <x v="1"/>
    <n v="9"/>
    <x v="2"/>
    <x v="0"/>
    <n v="1"/>
    <n v="116"/>
    <n v="4"/>
    <x v="1"/>
    <n v="96"/>
    <n v="3"/>
    <n v="1"/>
    <x v="2"/>
    <n v="4"/>
    <x v="1"/>
    <n v="2075"/>
    <n v="18725"/>
    <n v="3"/>
    <s v="Y"/>
    <s v="No"/>
    <n v="23"/>
    <n v="4"/>
    <n v="2"/>
    <n v="80"/>
    <n v="2"/>
    <n v="10"/>
    <n v="4"/>
    <n v="3"/>
    <n v="4"/>
    <n v="2"/>
    <n v="0"/>
    <n v="3"/>
    <n v="0"/>
    <x v="1"/>
  </r>
  <r>
    <n v="30"/>
    <x v="1"/>
    <s v="Travel_Rarely"/>
    <n v="288"/>
    <x v="1"/>
    <n v="2"/>
    <x v="3"/>
    <x v="0"/>
    <n v="1"/>
    <n v="117"/>
    <n v="3"/>
    <x v="1"/>
    <n v="99"/>
    <n v="2"/>
    <n v="2"/>
    <x v="4"/>
    <n v="4"/>
    <x v="1"/>
    <n v="4152"/>
    <n v="15830"/>
    <n v="1"/>
    <s v="Y"/>
    <s v="No"/>
    <n v="19"/>
    <n v="3"/>
    <n v="1"/>
    <n v="80"/>
    <n v="3"/>
    <n v="11"/>
    <n v="3"/>
    <n v="3"/>
    <n v="11"/>
    <n v="10"/>
    <n v="10"/>
    <n v="8"/>
    <n v="0"/>
    <x v="2"/>
  </r>
  <r>
    <n v="46"/>
    <x v="0"/>
    <s v="Travel_Rarely"/>
    <n v="669"/>
    <x v="0"/>
    <n v="9"/>
    <x v="0"/>
    <x v="2"/>
    <n v="1"/>
    <n v="118"/>
    <n v="3"/>
    <x v="1"/>
    <n v="64"/>
    <n v="2"/>
    <n v="3"/>
    <x v="0"/>
    <n v="4"/>
    <x v="0"/>
    <n v="9619"/>
    <n v="13596"/>
    <n v="1"/>
    <s v="Y"/>
    <s v="No"/>
    <n v="16"/>
    <n v="3"/>
    <n v="4"/>
    <n v="80"/>
    <n v="0"/>
    <n v="9"/>
    <n v="3"/>
    <n v="3"/>
    <n v="9"/>
    <n v="8"/>
    <n v="4"/>
    <n v="7"/>
    <n v="1"/>
    <x v="1"/>
  </r>
  <r>
    <n v="40"/>
    <x v="1"/>
    <s v="Travel_Frequently"/>
    <n v="530"/>
    <x v="1"/>
    <n v="1"/>
    <x v="2"/>
    <x v="0"/>
    <n v="1"/>
    <n v="119"/>
    <n v="3"/>
    <x v="1"/>
    <n v="78"/>
    <n v="2"/>
    <n v="4"/>
    <x v="4"/>
    <n v="2"/>
    <x v="1"/>
    <n v="13503"/>
    <n v="14115"/>
    <n v="1"/>
    <s v="Y"/>
    <s v="No"/>
    <n v="22"/>
    <n v="4"/>
    <n v="4"/>
    <n v="80"/>
    <n v="1"/>
    <n v="22"/>
    <n v="3"/>
    <n v="2"/>
    <n v="22"/>
    <n v="3"/>
    <n v="11"/>
    <n v="11"/>
    <n v="0"/>
    <x v="0"/>
  </r>
  <r>
    <n v="51"/>
    <x v="1"/>
    <s v="Travel_Rarely"/>
    <n v="632"/>
    <x v="0"/>
    <n v="21"/>
    <x v="2"/>
    <x v="3"/>
    <n v="1"/>
    <n v="120"/>
    <n v="3"/>
    <x v="1"/>
    <n v="71"/>
    <n v="3"/>
    <n v="2"/>
    <x v="0"/>
    <n v="4"/>
    <x v="0"/>
    <n v="5441"/>
    <n v="8423"/>
    <n v="0"/>
    <s v="Y"/>
    <s v="Yes"/>
    <n v="22"/>
    <n v="4"/>
    <n v="4"/>
    <n v="80"/>
    <n v="0"/>
    <n v="11"/>
    <n v="2"/>
    <n v="1"/>
    <n v="10"/>
    <n v="7"/>
    <n v="1"/>
    <n v="0"/>
    <n v="0"/>
    <x v="1"/>
  </r>
  <r>
    <n v="30"/>
    <x v="1"/>
    <s v="Travel_Rarely"/>
    <n v="1334"/>
    <x v="0"/>
    <n v="4"/>
    <x v="0"/>
    <x v="2"/>
    <n v="1"/>
    <n v="121"/>
    <n v="3"/>
    <x v="0"/>
    <n v="63"/>
    <n v="2"/>
    <n v="2"/>
    <x v="0"/>
    <n v="2"/>
    <x v="2"/>
    <n v="5209"/>
    <n v="19760"/>
    <n v="1"/>
    <s v="Y"/>
    <s v="Yes"/>
    <n v="12"/>
    <n v="3"/>
    <n v="2"/>
    <n v="80"/>
    <n v="3"/>
    <n v="11"/>
    <n v="4"/>
    <n v="2"/>
    <n v="11"/>
    <n v="8"/>
    <n v="2"/>
    <n v="7"/>
    <n v="0"/>
    <x v="2"/>
  </r>
  <r>
    <n v="46"/>
    <x v="1"/>
    <s v="Travel_Frequently"/>
    <n v="638"/>
    <x v="1"/>
    <n v="1"/>
    <x v="3"/>
    <x v="2"/>
    <n v="1"/>
    <n v="124"/>
    <n v="3"/>
    <x v="1"/>
    <n v="40"/>
    <n v="2"/>
    <n v="3"/>
    <x v="4"/>
    <n v="1"/>
    <x v="1"/>
    <n v="10673"/>
    <n v="3142"/>
    <n v="2"/>
    <s v="Y"/>
    <s v="Yes"/>
    <n v="13"/>
    <n v="3"/>
    <n v="3"/>
    <n v="80"/>
    <n v="1"/>
    <n v="21"/>
    <n v="5"/>
    <n v="2"/>
    <n v="10"/>
    <n v="9"/>
    <n v="9"/>
    <n v="5"/>
    <n v="0"/>
    <x v="1"/>
  </r>
  <r>
    <n v="32"/>
    <x v="1"/>
    <s v="Travel_Rarely"/>
    <n v="1093"/>
    <x v="0"/>
    <n v="6"/>
    <x v="2"/>
    <x v="2"/>
    <n v="1"/>
    <n v="125"/>
    <n v="2"/>
    <x v="1"/>
    <n v="87"/>
    <n v="3"/>
    <n v="2"/>
    <x v="0"/>
    <n v="3"/>
    <x v="0"/>
    <n v="5010"/>
    <n v="24301"/>
    <n v="1"/>
    <s v="Y"/>
    <s v="No"/>
    <n v="16"/>
    <n v="3"/>
    <n v="1"/>
    <n v="80"/>
    <n v="0"/>
    <n v="12"/>
    <n v="0"/>
    <n v="3"/>
    <n v="11"/>
    <n v="8"/>
    <n v="5"/>
    <n v="7"/>
    <n v="0"/>
    <x v="2"/>
  </r>
  <r>
    <n v="54"/>
    <x v="1"/>
    <s v="Travel_Rarely"/>
    <n v="1217"/>
    <x v="1"/>
    <n v="2"/>
    <x v="2"/>
    <x v="4"/>
    <n v="1"/>
    <n v="126"/>
    <n v="1"/>
    <x v="0"/>
    <n v="60"/>
    <n v="3"/>
    <n v="3"/>
    <x v="7"/>
    <n v="3"/>
    <x v="1"/>
    <n v="13549"/>
    <n v="24001"/>
    <n v="9"/>
    <s v="Y"/>
    <s v="No"/>
    <n v="12"/>
    <n v="3"/>
    <n v="1"/>
    <n v="80"/>
    <n v="1"/>
    <n v="16"/>
    <n v="5"/>
    <n v="1"/>
    <n v="4"/>
    <n v="3"/>
    <n v="0"/>
    <n v="3"/>
    <n v="0"/>
    <x v="1"/>
  </r>
  <r>
    <n v="24"/>
    <x v="1"/>
    <s v="Travel_Rarely"/>
    <n v="1353"/>
    <x v="0"/>
    <n v="3"/>
    <x v="0"/>
    <x v="1"/>
    <n v="1"/>
    <n v="128"/>
    <n v="1"/>
    <x v="0"/>
    <n v="33"/>
    <n v="3"/>
    <n v="2"/>
    <x v="0"/>
    <n v="3"/>
    <x v="1"/>
    <n v="4999"/>
    <n v="17519"/>
    <n v="0"/>
    <s v="Y"/>
    <s v="No"/>
    <n v="21"/>
    <n v="4"/>
    <n v="1"/>
    <n v="80"/>
    <n v="1"/>
    <n v="4"/>
    <n v="2"/>
    <n v="2"/>
    <n v="3"/>
    <n v="2"/>
    <n v="0"/>
    <n v="2"/>
    <n v="0"/>
    <x v="4"/>
  </r>
  <r>
    <n v="28"/>
    <x v="1"/>
    <s v="Non-Travel"/>
    <n v="120"/>
    <x v="0"/>
    <n v="4"/>
    <x v="3"/>
    <x v="2"/>
    <n v="1"/>
    <n v="129"/>
    <n v="2"/>
    <x v="1"/>
    <n v="43"/>
    <n v="3"/>
    <n v="2"/>
    <x v="0"/>
    <n v="3"/>
    <x v="1"/>
    <n v="4221"/>
    <n v="8863"/>
    <n v="1"/>
    <s v="Y"/>
    <s v="No"/>
    <n v="15"/>
    <n v="3"/>
    <n v="2"/>
    <n v="80"/>
    <n v="0"/>
    <n v="5"/>
    <n v="3"/>
    <n v="4"/>
    <n v="5"/>
    <n v="4"/>
    <n v="0"/>
    <n v="4"/>
    <n v="0"/>
    <x v="2"/>
  </r>
  <r>
    <n v="58"/>
    <x v="1"/>
    <s v="Travel_Rarely"/>
    <n v="682"/>
    <x v="0"/>
    <n v="10"/>
    <x v="2"/>
    <x v="2"/>
    <n v="1"/>
    <n v="131"/>
    <n v="4"/>
    <x v="1"/>
    <n v="37"/>
    <n v="3"/>
    <n v="4"/>
    <x v="0"/>
    <n v="3"/>
    <x v="0"/>
    <n v="13872"/>
    <n v="24409"/>
    <n v="0"/>
    <s v="Y"/>
    <s v="No"/>
    <n v="13"/>
    <n v="3"/>
    <n v="3"/>
    <n v="80"/>
    <n v="0"/>
    <n v="38"/>
    <n v="1"/>
    <n v="2"/>
    <n v="37"/>
    <n v="10"/>
    <n v="1"/>
    <n v="8"/>
    <n v="0"/>
    <x v="3"/>
  </r>
  <r>
    <n v="44"/>
    <x v="1"/>
    <s v="Non-Travel"/>
    <n v="489"/>
    <x v="1"/>
    <n v="23"/>
    <x v="3"/>
    <x v="2"/>
    <n v="1"/>
    <n v="132"/>
    <n v="2"/>
    <x v="1"/>
    <n v="67"/>
    <n v="3"/>
    <n v="2"/>
    <x v="2"/>
    <n v="2"/>
    <x v="1"/>
    <n v="2042"/>
    <n v="25043"/>
    <n v="4"/>
    <s v="Y"/>
    <s v="No"/>
    <n v="12"/>
    <n v="3"/>
    <n v="3"/>
    <n v="80"/>
    <n v="1"/>
    <n v="17"/>
    <n v="3"/>
    <n v="4"/>
    <n v="3"/>
    <n v="2"/>
    <n v="1"/>
    <n v="2"/>
    <n v="0"/>
    <x v="0"/>
  </r>
  <r>
    <n v="37"/>
    <x v="0"/>
    <s v="Travel_Rarely"/>
    <n v="807"/>
    <x v="2"/>
    <n v="6"/>
    <x v="2"/>
    <x v="5"/>
    <n v="1"/>
    <n v="133"/>
    <n v="3"/>
    <x v="1"/>
    <n v="63"/>
    <n v="3"/>
    <n v="1"/>
    <x v="8"/>
    <n v="1"/>
    <x v="2"/>
    <n v="2073"/>
    <n v="23648"/>
    <n v="4"/>
    <s v="Y"/>
    <s v="Yes"/>
    <n v="22"/>
    <n v="4"/>
    <n v="4"/>
    <n v="80"/>
    <n v="0"/>
    <n v="7"/>
    <n v="3"/>
    <n v="3"/>
    <n v="3"/>
    <n v="2"/>
    <n v="0"/>
    <n v="2"/>
    <n v="1"/>
    <x v="0"/>
  </r>
  <r>
    <n v="32"/>
    <x v="1"/>
    <s v="Travel_Rarely"/>
    <n v="827"/>
    <x v="1"/>
    <n v="1"/>
    <x v="1"/>
    <x v="0"/>
    <n v="1"/>
    <n v="134"/>
    <n v="4"/>
    <x v="1"/>
    <n v="71"/>
    <n v="3"/>
    <n v="1"/>
    <x v="1"/>
    <n v="1"/>
    <x v="0"/>
    <n v="2956"/>
    <n v="15178"/>
    <n v="1"/>
    <s v="Y"/>
    <s v="No"/>
    <n v="13"/>
    <n v="3"/>
    <n v="4"/>
    <n v="80"/>
    <n v="0"/>
    <n v="1"/>
    <n v="2"/>
    <n v="3"/>
    <n v="1"/>
    <n v="0"/>
    <n v="0"/>
    <n v="0"/>
    <n v="0"/>
    <x v="2"/>
  </r>
  <r>
    <n v="20"/>
    <x v="0"/>
    <s v="Travel_Frequently"/>
    <n v="871"/>
    <x v="1"/>
    <n v="6"/>
    <x v="3"/>
    <x v="0"/>
    <n v="1"/>
    <n v="137"/>
    <n v="4"/>
    <x v="0"/>
    <n v="66"/>
    <n v="2"/>
    <n v="1"/>
    <x v="2"/>
    <n v="4"/>
    <x v="0"/>
    <n v="2926"/>
    <n v="19783"/>
    <n v="1"/>
    <s v="Y"/>
    <s v="Yes"/>
    <n v="18"/>
    <n v="3"/>
    <n v="2"/>
    <n v="80"/>
    <n v="0"/>
    <n v="1"/>
    <n v="5"/>
    <n v="3"/>
    <n v="1"/>
    <n v="0"/>
    <n v="1"/>
    <n v="0"/>
    <n v="1"/>
    <x v="4"/>
  </r>
  <r>
    <n v="34"/>
    <x v="1"/>
    <s v="Travel_Rarely"/>
    <n v="665"/>
    <x v="1"/>
    <n v="6"/>
    <x v="2"/>
    <x v="1"/>
    <n v="1"/>
    <n v="138"/>
    <n v="1"/>
    <x v="0"/>
    <n v="41"/>
    <n v="3"/>
    <n v="2"/>
    <x v="1"/>
    <n v="3"/>
    <x v="0"/>
    <n v="4809"/>
    <n v="12482"/>
    <n v="1"/>
    <s v="Y"/>
    <s v="No"/>
    <n v="14"/>
    <n v="3"/>
    <n v="3"/>
    <n v="80"/>
    <n v="0"/>
    <n v="16"/>
    <n v="3"/>
    <n v="3"/>
    <n v="16"/>
    <n v="13"/>
    <n v="2"/>
    <n v="10"/>
    <n v="0"/>
    <x v="2"/>
  </r>
  <r>
    <n v="37"/>
    <x v="1"/>
    <s v="Non-Travel"/>
    <n v="1040"/>
    <x v="1"/>
    <n v="2"/>
    <x v="0"/>
    <x v="0"/>
    <n v="1"/>
    <n v="139"/>
    <n v="3"/>
    <x v="1"/>
    <n v="100"/>
    <n v="2"/>
    <n v="2"/>
    <x v="4"/>
    <n v="4"/>
    <x v="2"/>
    <n v="5163"/>
    <n v="15850"/>
    <n v="5"/>
    <s v="Y"/>
    <s v="No"/>
    <n v="14"/>
    <n v="3"/>
    <n v="4"/>
    <n v="80"/>
    <n v="1"/>
    <n v="17"/>
    <n v="2"/>
    <n v="4"/>
    <n v="1"/>
    <n v="0"/>
    <n v="0"/>
    <n v="0"/>
    <n v="0"/>
    <x v="0"/>
  </r>
  <r>
    <n v="59"/>
    <x v="1"/>
    <s v="Non-Travel"/>
    <n v="1420"/>
    <x v="2"/>
    <n v="2"/>
    <x v="2"/>
    <x v="5"/>
    <n v="1"/>
    <n v="140"/>
    <n v="3"/>
    <x v="0"/>
    <n v="32"/>
    <n v="2"/>
    <n v="5"/>
    <x v="5"/>
    <n v="4"/>
    <x v="1"/>
    <n v="18844"/>
    <n v="21922"/>
    <n v="9"/>
    <s v="Y"/>
    <s v="No"/>
    <n v="21"/>
    <n v="4"/>
    <n v="4"/>
    <n v="80"/>
    <n v="1"/>
    <n v="30"/>
    <n v="3"/>
    <n v="3"/>
    <n v="3"/>
    <n v="2"/>
    <n v="2"/>
    <n v="2"/>
    <n v="0"/>
    <x v="3"/>
  </r>
  <r>
    <n v="50"/>
    <x v="1"/>
    <s v="Travel_Frequently"/>
    <n v="1115"/>
    <x v="1"/>
    <n v="1"/>
    <x v="3"/>
    <x v="0"/>
    <n v="1"/>
    <n v="141"/>
    <n v="1"/>
    <x v="0"/>
    <n v="73"/>
    <n v="3"/>
    <n v="5"/>
    <x v="7"/>
    <n v="2"/>
    <x v="1"/>
    <n v="18172"/>
    <n v="9755"/>
    <n v="3"/>
    <s v="Y"/>
    <s v="Yes"/>
    <n v="19"/>
    <n v="3"/>
    <n v="1"/>
    <n v="80"/>
    <n v="0"/>
    <n v="28"/>
    <n v="1"/>
    <n v="2"/>
    <n v="8"/>
    <n v="3"/>
    <n v="0"/>
    <n v="7"/>
    <n v="0"/>
    <x v="1"/>
  </r>
  <r>
    <n v="25"/>
    <x v="0"/>
    <s v="Travel_Rarely"/>
    <n v="240"/>
    <x v="0"/>
    <n v="5"/>
    <x v="3"/>
    <x v="3"/>
    <n v="1"/>
    <n v="142"/>
    <n v="3"/>
    <x v="1"/>
    <n v="46"/>
    <n v="2"/>
    <n v="2"/>
    <x v="0"/>
    <n v="3"/>
    <x v="0"/>
    <n v="5744"/>
    <n v="26959"/>
    <n v="1"/>
    <s v="Y"/>
    <s v="Yes"/>
    <n v="11"/>
    <n v="3"/>
    <n v="4"/>
    <n v="80"/>
    <n v="0"/>
    <n v="6"/>
    <n v="1"/>
    <n v="3"/>
    <n v="6"/>
    <n v="4"/>
    <n v="0"/>
    <n v="3"/>
    <n v="1"/>
    <x v="2"/>
  </r>
  <r>
    <n v="25"/>
    <x v="1"/>
    <s v="Travel_Rarely"/>
    <n v="1280"/>
    <x v="1"/>
    <n v="7"/>
    <x v="1"/>
    <x v="2"/>
    <n v="1"/>
    <n v="143"/>
    <n v="4"/>
    <x v="1"/>
    <n v="64"/>
    <n v="2"/>
    <n v="1"/>
    <x v="1"/>
    <n v="4"/>
    <x v="1"/>
    <n v="2889"/>
    <n v="26897"/>
    <n v="1"/>
    <s v="Y"/>
    <s v="No"/>
    <n v="11"/>
    <n v="3"/>
    <n v="3"/>
    <n v="80"/>
    <n v="2"/>
    <n v="2"/>
    <n v="2"/>
    <n v="3"/>
    <n v="2"/>
    <n v="2"/>
    <n v="2"/>
    <n v="1"/>
    <n v="0"/>
    <x v="2"/>
  </r>
  <r>
    <n v="22"/>
    <x v="1"/>
    <s v="Travel_Rarely"/>
    <n v="534"/>
    <x v="1"/>
    <n v="15"/>
    <x v="3"/>
    <x v="2"/>
    <n v="1"/>
    <n v="144"/>
    <n v="2"/>
    <x v="0"/>
    <n v="59"/>
    <n v="3"/>
    <n v="1"/>
    <x v="2"/>
    <n v="4"/>
    <x v="0"/>
    <n v="2871"/>
    <n v="23785"/>
    <n v="1"/>
    <s v="Y"/>
    <s v="No"/>
    <n v="15"/>
    <n v="3"/>
    <n v="3"/>
    <n v="80"/>
    <n v="0"/>
    <n v="1"/>
    <n v="5"/>
    <n v="3"/>
    <n v="0"/>
    <n v="0"/>
    <n v="0"/>
    <n v="0"/>
    <n v="0"/>
    <x v="4"/>
  </r>
  <r>
    <n v="51"/>
    <x v="1"/>
    <s v="Travel_Frequently"/>
    <n v="1456"/>
    <x v="1"/>
    <n v="1"/>
    <x v="2"/>
    <x v="2"/>
    <n v="1"/>
    <n v="145"/>
    <n v="1"/>
    <x v="0"/>
    <n v="30"/>
    <n v="2"/>
    <n v="3"/>
    <x v="4"/>
    <n v="1"/>
    <x v="0"/>
    <n v="7484"/>
    <n v="25796"/>
    <n v="3"/>
    <s v="Y"/>
    <s v="No"/>
    <n v="20"/>
    <n v="4"/>
    <n v="3"/>
    <n v="80"/>
    <n v="0"/>
    <n v="23"/>
    <n v="1"/>
    <n v="2"/>
    <n v="13"/>
    <n v="12"/>
    <n v="12"/>
    <n v="8"/>
    <n v="0"/>
    <x v="1"/>
  </r>
  <r>
    <n v="34"/>
    <x v="0"/>
    <s v="Travel_Frequently"/>
    <n v="658"/>
    <x v="1"/>
    <n v="7"/>
    <x v="3"/>
    <x v="0"/>
    <n v="1"/>
    <n v="147"/>
    <n v="1"/>
    <x v="1"/>
    <n v="66"/>
    <n v="1"/>
    <n v="2"/>
    <x v="2"/>
    <n v="3"/>
    <x v="0"/>
    <n v="6074"/>
    <n v="22887"/>
    <n v="1"/>
    <s v="Y"/>
    <s v="Yes"/>
    <n v="24"/>
    <n v="4"/>
    <n v="4"/>
    <n v="80"/>
    <n v="0"/>
    <n v="9"/>
    <n v="3"/>
    <n v="3"/>
    <n v="9"/>
    <n v="7"/>
    <n v="0"/>
    <n v="6"/>
    <n v="1"/>
    <x v="2"/>
  </r>
  <r>
    <n v="54"/>
    <x v="1"/>
    <s v="Non-Travel"/>
    <n v="142"/>
    <x v="2"/>
    <n v="26"/>
    <x v="3"/>
    <x v="5"/>
    <n v="1"/>
    <n v="148"/>
    <n v="4"/>
    <x v="0"/>
    <n v="30"/>
    <n v="4"/>
    <n v="4"/>
    <x v="5"/>
    <n v="4"/>
    <x v="0"/>
    <n v="17328"/>
    <n v="13871"/>
    <n v="2"/>
    <s v="Y"/>
    <s v="Yes"/>
    <n v="12"/>
    <n v="3"/>
    <n v="3"/>
    <n v="80"/>
    <n v="0"/>
    <n v="23"/>
    <n v="3"/>
    <n v="3"/>
    <n v="5"/>
    <n v="3"/>
    <n v="4"/>
    <n v="4"/>
    <n v="0"/>
    <x v="1"/>
  </r>
  <r>
    <n v="24"/>
    <x v="1"/>
    <s v="Travel_Rarely"/>
    <n v="1127"/>
    <x v="1"/>
    <n v="18"/>
    <x v="1"/>
    <x v="0"/>
    <n v="1"/>
    <n v="150"/>
    <n v="2"/>
    <x v="1"/>
    <n v="52"/>
    <n v="3"/>
    <n v="1"/>
    <x v="2"/>
    <n v="3"/>
    <x v="1"/>
    <n v="2774"/>
    <n v="13257"/>
    <n v="0"/>
    <s v="Y"/>
    <s v="No"/>
    <n v="12"/>
    <n v="3"/>
    <n v="3"/>
    <n v="80"/>
    <n v="1"/>
    <n v="6"/>
    <n v="2"/>
    <n v="3"/>
    <n v="5"/>
    <n v="3"/>
    <n v="1"/>
    <n v="2"/>
    <n v="0"/>
    <x v="4"/>
  </r>
  <r>
    <n v="34"/>
    <x v="1"/>
    <s v="Travel_Rarely"/>
    <n v="1031"/>
    <x v="1"/>
    <n v="6"/>
    <x v="2"/>
    <x v="0"/>
    <n v="1"/>
    <n v="151"/>
    <n v="3"/>
    <x v="0"/>
    <n v="45"/>
    <n v="2"/>
    <n v="2"/>
    <x v="1"/>
    <n v="2"/>
    <x v="2"/>
    <n v="4505"/>
    <n v="15000"/>
    <n v="6"/>
    <s v="Y"/>
    <s v="No"/>
    <n v="15"/>
    <n v="3"/>
    <n v="3"/>
    <n v="80"/>
    <n v="1"/>
    <n v="12"/>
    <n v="3"/>
    <n v="3"/>
    <n v="1"/>
    <n v="0"/>
    <n v="0"/>
    <n v="0"/>
    <n v="0"/>
    <x v="2"/>
  </r>
  <r>
    <n v="37"/>
    <x v="1"/>
    <s v="Travel_Rarely"/>
    <n v="1189"/>
    <x v="0"/>
    <n v="3"/>
    <x v="3"/>
    <x v="0"/>
    <n v="1"/>
    <n v="152"/>
    <n v="3"/>
    <x v="1"/>
    <n v="87"/>
    <n v="3"/>
    <n v="3"/>
    <x v="0"/>
    <n v="4"/>
    <x v="0"/>
    <n v="7428"/>
    <n v="14506"/>
    <n v="2"/>
    <s v="Y"/>
    <s v="No"/>
    <n v="12"/>
    <n v="3"/>
    <n v="1"/>
    <n v="80"/>
    <n v="0"/>
    <n v="12"/>
    <n v="3"/>
    <n v="3"/>
    <n v="5"/>
    <n v="3"/>
    <n v="1"/>
    <n v="3"/>
    <n v="0"/>
    <x v="0"/>
  </r>
  <r>
    <n v="34"/>
    <x v="1"/>
    <s v="Travel_Rarely"/>
    <n v="1354"/>
    <x v="1"/>
    <n v="5"/>
    <x v="3"/>
    <x v="2"/>
    <n v="1"/>
    <n v="153"/>
    <n v="3"/>
    <x v="0"/>
    <n v="45"/>
    <n v="2"/>
    <n v="3"/>
    <x v="5"/>
    <n v="1"/>
    <x v="0"/>
    <n v="11631"/>
    <n v="5615"/>
    <n v="2"/>
    <s v="Y"/>
    <s v="No"/>
    <n v="12"/>
    <n v="3"/>
    <n v="4"/>
    <n v="80"/>
    <n v="0"/>
    <n v="14"/>
    <n v="6"/>
    <n v="3"/>
    <n v="11"/>
    <n v="10"/>
    <n v="5"/>
    <n v="8"/>
    <n v="0"/>
    <x v="2"/>
  </r>
  <r>
    <n v="36"/>
    <x v="1"/>
    <s v="Travel_Frequently"/>
    <n v="1467"/>
    <x v="0"/>
    <n v="11"/>
    <x v="0"/>
    <x v="4"/>
    <n v="1"/>
    <n v="154"/>
    <n v="2"/>
    <x v="0"/>
    <n v="92"/>
    <n v="3"/>
    <n v="3"/>
    <x v="0"/>
    <n v="4"/>
    <x v="1"/>
    <n v="9738"/>
    <n v="22952"/>
    <n v="0"/>
    <s v="Y"/>
    <s v="No"/>
    <n v="14"/>
    <n v="3"/>
    <n v="3"/>
    <n v="80"/>
    <n v="1"/>
    <n v="10"/>
    <n v="6"/>
    <n v="3"/>
    <n v="9"/>
    <n v="7"/>
    <n v="2"/>
    <n v="8"/>
    <n v="0"/>
    <x v="0"/>
  </r>
  <r>
    <n v="36"/>
    <x v="1"/>
    <s v="Travel_Rarely"/>
    <n v="922"/>
    <x v="1"/>
    <n v="3"/>
    <x v="0"/>
    <x v="0"/>
    <n v="1"/>
    <n v="155"/>
    <n v="1"/>
    <x v="0"/>
    <n v="39"/>
    <n v="3"/>
    <n v="1"/>
    <x v="2"/>
    <n v="4"/>
    <x v="2"/>
    <n v="2835"/>
    <n v="2561"/>
    <n v="5"/>
    <s v="Y"/>
    <s v="No"/>
    <n v="22"/>
    <n v="4"/>
    <n v="1"/>
    <n v="80"/>
    <n v="1"/>
    <n v="7"/>
    <n v="2"/>
    <n v="3"/>
    <n v="1"/>
    <n v="0"/>
    <n v="0"/>
    <n v="0"/>
    <n v="0"/>
    <x v="0"/>
  </r>
  <r>
    <n v="43"/>
    <x v="1"/>
    <s v="Travel_Frequently"/>
    <n v="394"/>
    <x v="0"/>
    <n v="26"/>
    <x v="0"/>
    <x v="0"/>
    <n v="1"/>
    <n v="158"/>
    <n v="3"/>
    <x v="1"/>
    <n v="92"/>
    <n v="3"/>
    <n v="4"/>
    <x v="5"/>
    <n v="4"/>
    <x v="1"/>
    <n v="16959"/>
    <n v="19494"/>
    <n v="1"/>
    <s v="Y"/>
    <s v="Yes"/>
    <n v="12"/>
    <n v="3"/>
    <n v="4"/>
    <n v="80"/>
    <n v="2"/>
    <n v="25"/>
    <n v="3"/>
    <n v="4"/>
    <n v="25"/>
    <n v="12"/>
    <n v="4"/>
    <n v="12"/>
    <n v="0"/>
    <x v="0"/>
  </r>
  <r>
    <n v="30"/>
    <x v="1"/>
    <s v="Travel_Frequently"/>
    <n v="1312"/>
    <x v="1"/>
    <n v="23"/>
    <x v="3"/>
    <x v="0"/>
    <n v="1"/>
    <n v="159"/>
    <n v="1"/>
    <x v="1"/>
    <n v="96"/>
    <n v="1"/>
    <n v="1"/>
    <x v="1"/>
    <n v="3"/>
    <x v="2"/>
    <n v="2613"/>
    <n v="22310"/>
    <n v="1"/>
    <s v="Y"/>
    <s v="No"/>
    <n v="25"/>
    <n v="4"/>
    <n v="3"/>
    <n v="80"/>
    <n v="3"/>
    <n v="10"/>
    <n v="2"/>
    <n v="2"/>
    <n v="10"/>
    <n v="7"/>
    <n v="0"/>
    <n v="9"/>
    <n v="0"/>
    <x v="2"/>
  </r>
  <r>
    <n v="33"/>
    <x v="1"/>
    <s v="Non-Travel"/>
    <n v="750"/>
    <x v="0"/>
    <n v="22"/>
    <x v="0"/>
    <x v="3"/>
    <n v="1"/>
    <n v="160"/>
    <n v="3"/>
    <x v="1"/>
    <n v="95"/>
    <n v="3"/>
    <n v="2"/>
    <x v="0"/>
    <n v="2"/>
    <x v="1"/>
    <n v="6146"/>
    <n v="15480"/>
    <n v="0"/>
    <s v="Y"/>
    <s v="No"/>
    <n v="13"/>
    <n v="3"/>
    <n v="1"/>
    <n v="80"/>
    <n v="1"/>
    <n v="8"/>
    <n v="2"/>
    <n v="4"/>
    <n v="7"/>
    <n v="7"/>
    <n v="0"/>
    <n v="7"/>
    <n v="0"/>
    <x v="2"/>
  </r>
  <r>
    <n v="56"/>
    <x v="0"/>
    <s v="Travel_Rarely"/>
    <n v="441"/>
    <x v="1"/>
    <n v="14"/>
    <x v="2"/>
    <x v="0"/>
    <n v="1"/>
    <n v="161"/>
    <n v="2"/>
    <x v="0"/>
    <n v="72"/>
    <n v="3"/>
    <n v="1"/>
    <x v="1"/>
    <n v="2"/>
    <x v="1"/>
    <n v="4963"/>
    <n v="4510"/>
    <n v="9"/>
    <s v="Y"/>
    <s v="Yes"/>
    <n v="18"/>
    <n v="3"/>
    <n v="1"/>
    <n v="80"/>
    <n v="3"/>
    <n v="7"/>
    <n v="2"/>
    <n v="3"/>
    <n v="5"/>
    <n v="4"/>
    <n v="4"/>
    <n v="3"/>
    <n v="1"/>
    <x v="3"/>
  </r>
  <r>
    <n v="51"/>
    <x v="1"/>
    <s v="Travel_Rarely"/>
    <n v="684"/>
    <x v="1"/>
    <n v="6"/>
    <x v="3"/>
    <x v="0"/>
    <n v="1"/>
    <n v="162"/>
    <n v="1"/>
    <x v="1"/>
    <n v="51"/>
    <n v="3"/>
    <n v="5"/>
    <x v="7"/>
    <n v="3"/>
    <x v="0"/>
    <n v="19537"/>
    <n v="6462"/>
    <n v="7"/>
    <s v="Y"/>
    <s v="No"/>
    <n v="13"/>
    <n v="3"/>
    <n v="3"/>
    <n v="80"/>
    <n v="0"/>
    <n v="23"/>
    <n v="5"/>
    <n v="3"/>
    <n v="20"/>
    <n v="18"/>
    <n v="15"/>
    <n v="15"/>
    <n v="0"/>
    <x v="1"/>
  </r>
  <r>
    <n v="31"/>
    <x v="0"/>
    <s v="Travel_Rarely"/>
    <n v="249"/>
    <x v="0"/>
    <n v="6"/>
    <x v="2"/>
    <x v="0"/>
    <n v="1"/>
    <n v="163"/>
    <n v="2"/>
    <x v="1"/>
    <n v="76"/>
    <n v="1"/>
    <n v="2"/>
    <x v="0"/>
    <n v="3"/>
    <x v="1"/>
    <n v="6172"/>
    <n v="20739"/>
    <n v="4"/>
    <s v="Y"/>
    <s v="Yes"/>
    <n v="18"/>
    <n v="3"/>
    <n v="2"/>
    <n v="80"/>
    <n v="0"/>
    <n v="12"/>
    <n v="3"/>
    <n v="2"/>
    <n v="7"/>
    <n v="7"/>
    <n v="7"/>
    <n v="7"/>
    <n v="1"/>
    <x v="2"/>
  </r>
  <r>
    <n v="26"/>
    <x v="1"/>
    <s v="Travel_Rarely"/>
    <n v="841"/>
    <x v="1"/>
    <n v="6"/>
    <x v="3"/>
    <x v="1"/>
    <n v="1"/>
    <n v="164"/>
    <n v="3"/>
    <x v="0"/>
    <n v="46"/>
    <n v="2"/>
    <n v="1"/>
    <x v="1"/>
    <n v="2"/>
    <x v="1"/>
    <n v="2368"/>
    <n v="23300"/>
    <n v="1"/>
    <s v="Y"/>
    <s v="No"/>
    <n v="19"/>
    <n v="3"/>
    <n v="3"/>
    <n v="80"/>
    <n v="0"/>
    <n v="5"/>
    <n v="3"/>
    <n v="2"/>
    <n v="5"/>
    <n v="4"/>
    <n v="4"/>
    <n v="3"/>
    <n v="0"/>
    <x v="2"/>
  </r>
  <r>
    <n v="58"/>
    <x v="0"/>
    <s v="Travel_Rarely"/>
    <n v="147"/>
    <x v="1"/>
    <n v="23"/>
    <x v="2"/>
    <x v="2"/>
    <n v="1"/>
    <n v="165"/>
    <n v="4"/>
    <x v="0"/>
    <n v="94"/>
    <n v="3"/>
    <n v="3"/>
    <x v="4"/>
    <n v="4"/>
    <x v="1"/>
    <n v="10312"/>
    <n v="3465"/>
    <n v="1"/>
    <s v="Y"/>
    <s v="No"/>
    <n v="12"/>
    <n v="3"/>
    <n v="4"/>
    <n v="80"/>
    <n v="1"/>
    <n v="40"/>
    <n v="3"/>
    <n v="2"/>
    <n v="40"/>
    <n v="10"/>
    <n v="15"/>
    <n v="6"/>
    <n v="1"/>
    <x v="3"/>
  </r>
  <r>
    <n v="19"/>
    <x v="0"/>
    <s v="Travel_Rarely"/>
    <n v="528"/>
    <x v="0"/>
    <n v="22"/>
    <x v="1"/>
    <x v="3"/>
    <n v="1"/>
    <n v="167"/>
    <n v="4"/>
    <x v="1"/>
    <n v="50"/>
    <n v="3"/>
    <n v="1"/>
    <x v="6"/>
    <n v="3"/>
    <x v="0"/>
    <n v="1675"/>
    <n v="26820"/>
    <n v="1"/>
    <s v="Y"/>
    <s v="Yes"/>
    <n v="19"/>
    <n v="3"/>
    <n v="4"/>
    <n v="80"/>
    <n v="0"/>
    <n v="0"/>
    <n v="2"/>
    <n v="2"/>
    <n v="0"/>
    <n v="0"/>
    <n v="0"/>
    <n v="0"/>
    <n v="1"/>
    <x v="4"/>
  </r>
  <r>
    <n v="22"/>
    <x v="1"/>
    <s v="Travel_Rarely"/>
    <n v="594"/>
    <x v="1"/>
    <n v="2"/>
    <x v="1"/>
    <x v="4"/>
    <n v="1"/>
    <n v="169"/>
    <n v="3"/>
    <x v="1"/>
    <n v="100"/>
    <n v="3"/>
    <n v="1"/>
    <x v="2"/>
    <n v="4"/>
    <x v="1"/>
    <n v="2523"/>
    <n v="19299"/>
    <n v="0"/>
    <s v="Y"/>
    <s v="No"/>
    <n v="14"/>
    <n v="3"/>
    <n v="3"/>
    <n v="80"/>
    <n v="1"/>
    <n v="3"/>
    <n v="2"/>
    <n v="3"/>
    <n v="2"/>
    <n v="1"/>
    <n v="2"/>
    <n v="1"/>
    <n v="0"/>
    <x v="4"/>
  </r>
  <r>
    <n v="49"/>
    <x v="1"/>
    <s v="Travel_Rarely"/>
    <n v="470"/>
    <x v="1"/>
    <n v="20"/>
    <x v="2"/>
    <x v="2"/>
    <n v="1"/>
    <n v="170"/>
    <n v="3"/>
    <x v="0"/>
    <n v="96"/>
    <n v="3"/>
    <n v="2"/>
    <x v="3"/>
    <n v="1"/>
    <x v="1"/>
    <n v="6567"/>
    <n v="5549"/>
    <n v="1"/>
    <s v="Y"/>
    <s v="No"/>
    <n v="14"/>
    <n v="3"/>
    <n v="3"/>
    <n v="80"/>
    <n v="0"/>
    <n v="16"/>
    <n v="2"/>
    <n v="2"/>
    <n v="15"/>
    <n v="11"/>
    <n v="5"/>
    <n v="11"/>
    <n v="0"/>
    <x v="1"/>
  </r>
  <r>
    <n v="43"/>
    <x v="1"/>
    <s v="Travel_Frequently"/>
    <n v="957"/>
    <x v="1"/>
    <n v="28"/>
    <x v="3"/>
    <x v="2"/>
    <n v="1"/>
    <n v="171"/>
    <n v="2"/>
    <x v="0"/>
    <n v="72"/>
    <n v="4"/>
    <n v="1"/>
    <x v="1"/>
    <n v="3"/>
    <x v="0"/>
    <n v="4739"/>
    <n v="16090"/>
    <n v="4"/>
    <s v="Y"/>
    <s v="No"/>
    <n v="12"/>
    <n v="3"/>
    <n v="4"/>
    <n v="80"/>
    <n v="0"/>
    <n v="18"/>
    <n v="2"/>
    <n v="3"/>
    <n v="3"/>
    <n v="2"/>
    <n v="1"/>
    <n v="2"/>
    <n v="0"/>
    <x v="0"/>
  </r>
  <r>
    <n v="50"/>
    <x v="1"/>
    <s v="Travel_Frequently"/>
    <n v="809"/>
    <x v="0"/>
    <n v="12"/>
    <x v="3"/>
    <x v="3"/>
    <n v="1"/>
    <n v="174"/>
    <n v="3"/>
    <x v="0"/>
    <n v="77"/>
    <n v="3"/>
    <n v="3"/>
    <x v="0"/>
    <n v="4"/>
    <x v="0"/>
    <n v="9208"/>
    <n v="6645"/>
    <n v="4"/>
    <s v="Y"/>
    <s v="No"/>
    <n v="11"/>
    <n v="3"/>
    <n v="4"/>
    <n v="80"/>
    <n v="0"/>
    <n v="16"/>
    <n v="3"/>
    <n v="3"/>
    <n v="2"/>
    <n v="2"/>
    <n v="2"/>
    <n v="1"/>
    <n v="0"/>
    <x v="1"/>
  </r>
  <r>
    <n v="31"/>
    <x v="0"/>
    <s v="Travel_Rarely"/>
    <n v="542"/>
    <x v="0"/>
    <n v="20"/>
    <x v="3"/>
    <x v="0"/>
    <n v="1"/>
    <n v="175"/>
    <n v="2"/>
    <x v="0"/>
    <n v="71"/>
    <n v="1"/>
    <n v="2"/>
    <x v="0"/>
    <n v="3"/>
    <x v="1"/>
    <n v="4559"/>
    <n v="24788"/>
    <n v="3"/>
    <s v="Y"/>
    <s v="Yes"/>
    <n v="11"/>
    <n v="3"/>
    <n v="3"/>
    <n v="80"/>
    <n v="1"/>
    <n v="4"/>
    <n v="2"/>
    <n v="3"/>
    <n v="2"/>
    <n v="2"/>
    <n v="2"/>
    <n v="2"/>
    <n v="1"/>
    <x v="2"/>
  </r>
  <r>
    <n v="41"/>
    <x v="1"/>
    <s v="Travel_Rarely"/>
    <n v="802"/>
    <x v="0"/>
    <n v="9"/>
    <x v="1"/>
    <x v="0"/>
    <n v="1"/>
    <n v="176"/>
    <n v="3"/>
    <x v="1"/>
    <n v="96"/>
    <n v="3"/>
    <n v="3"/>
    <x v="0"/>
    <n v="3"/>
    <x v="2"/>
    <n v="8189"/>
    <n v="21196"/>
    <n v="3"/>
    <s v="Y"/>
    <s v="Yes"/>
    <n v="13"/>
    <n v="3"/>
    <n v="3"/>
    <n v="80"/>
    <n v="1"/>
    <n v="12"/>
    <n v="2"/>
    <n v="3"/>
    <n v="9"/>
    <n v="7"/>
    <n v="0"/>
    <n v="7"/>
    <n v="0"/>
    <x v="0"/>
  </r>
  <r>
    <n v="26"/>
    <x v="1"/>
    <s v="Travel_Rarely"/>
    <n v="1355"/>
    <x v="2"/>
    <n v="25"/>
    <x v="1"/>
    <x v="0"/>
    <n v="1"/>
    <n v="177"/>
    <n v="3"/>
    <x v="0"/>
    <n v="61"/>
    <n v="3"/>
    <n v="1"/>
    <x v="8"/>
    <n v="3"/>
    <x v="1"/>
    <n v="2942"/>
    <n v="8916"/>
    <n v="1"/>
    <s v="Y"/>
    <s v="No"/>
    <n v="23"/>
    <n v="4"/>
    <n v="4"/>
    <n v="80"/>
    <n v="1"/>
    <n v="8"/>
    <n v="3"/>
    <n v="3"/>
    <n v="8"/>
    <n v="7"/>
    <n v="5"/>
    <n v="7"/>
    <n v="0"/>
    <x v="2"/>
  </r>
  <r>
    <n v="36"/>
    <x v="1"/>
    <s v="Travel_Rarely"/>
    <n v="216"/>
    <x v="1"/>
    <n v="6"/>
    <x v="0"/>
    <x v="2"/>
    <n v="1"/>
    <n v="178"/>
    <n v="2"/>
    <x v="1"/>
    <n v="84"/>
    <n v="3"/>
    <n v="2"/>
    <x v="3"/>
    <n v="2"/>
    <x v="2"/>
    <n v="4941"/>
    <n v="2819"/>
    <n v="6"/>
    <s v="Y"/>
    <s v="No"/>
    <n v="20"/>
    <n v="4"/>
    <n v="4"/>
    <n v="80"/>
    <n v="2"/>
    <n v="7"/>
    <n v="0"/>
    <n v="3"/>
    <n v="3"/>
    <n v="2"/>
    <n v="0"/>
    <n v="1"/>
    <n v="0"/>
    <x v="0"/>
  </r>
  <r>
    <n v="51"/>
    <x v="0"/>
    <s v="Travel_Frequently"/>
    <n v="1150"/>
    <x v="1"/>
    <n v="8"/>
    <x v="2"/>
    <x v="0"/>
    <n v="1"/>
    <n v="179"/>
    <n v="1"/>
    <x v="1"/>
    <n v="53"/>
    <n v="1"/>
    <n v="3"/>
    <x v="3"/>
    <n v="4"/>
    <x v="0"/>
    <n v="10650"/>
    <n v="25150"/>
    <n v="2"/>
    <s v="Y"/>
    <s v="No"/>
    <n v="15"/>
    <n v="3"/>
    <n v="4"/>
    <n v="80"/>
    <n v="0"/>
    <n v="18"/>
    <n v="2"/>
    <n v="3"/>
    <n v="4"/>
    <n v="2"/>
    <n v="0"/>
    <n v="3"/>
    <n v="1"/>
    <x v="1"/>
  </r>
  <r>
    <n v="39"/>
    <x v="1"/>
    <s v="Travel_Rarely"/>
    <n v="1329"/>
    <x v="0"/>
    <n v="4"/>
    <x v="2"/>
    <x v="0"/>
    <n v="1"/>
    <n v="182"/>
    <n v="4"/>
    <x v="0"/>
    <n v="47"/>
    <n v="2"/>
    <n v="2"/>
    <x v="0"/>
    <n v="3"/>
    <x v="1"/>
    <n v="5902"/>
    <n v="14590"/>
    <n v="4"/>
    <s v="Y"/>
    <s v="No"/>
    <n v="14"/>
    <n v="3"/>
    <n v="3"/>
    <n v="80"/>
    <n v="1"/>
    <n v="17"/>
    <n v="1"/>
    <n v="4"/>
    <n v="15"/>
    <n v="11"/>
    <n v="5"/>
    <n v="9"/>
    <n v="0"/>
    <x v="0"/>
  </r>
  <r>
    <n v="25"/>
    <x v="1"/>
    <s v="Travel_Rarely"/>
    <n v="959"/>
    <x v="0"/>
    <n v="28"/>
    <x v="3"/>
    <x v="0"/>
    <n v="1"/>
    <n v="183"/>
    <n v="1"/>
    <x v="1"/>
    <n v="41"/>
    <n v="2"/>
    <n v="2"/>
    <x v="0"/>
    <n v="3"/>
    <x v="1"/>
    <n v="8639"/>
    <n v="24835"/>
    <n v="2"/>
    <s v="Y"/>
    <s v="No"/>
    <n v="18"/>
    <n v="3"/>
    <n v="4"/>
    <n v="80"/>
    <n v="0"/>
    <n v="6"/>
    <n v="3"/>
    <n v="3"/>
    <n v="2"/>
    <n v="2"/>
    <n v="2"/>
    <n v="2"/>
    <n v="0"/>
    <x v="2"/>
  </r>
  <r>
    <n v="30"/>
    <x v="1"/>
    <s v="Travel_Rarely"/>
    <n v="1240"/>
    <x v="2"/>
    <n v="9"/>
    <x v="3"/>
    <x v="5"/>
    <n v="1"/>
    <n v="184"/>
    <n v="3"/>
    <x v="1"/>
    <n v="48"/>
    <n v="3"/>
    <n v="2"/>
    <x v="8"/>
    <n v="4"/>
    <x v="1"/>
    <n v="6347"/>
    <n v="13982"/>
    <n v="0"/>
    <s v="Y"/>
    <s v="Yes"/>
    <n v="19"/>
    <n v="3"/>
    <n v="4"/>
    <n v="80"/>
    <n v="0"/>
    <n v="12"/>
    <n v="2"/>
    <n v="1"/>
    <n v="11"/>
    <n v="9"/>
    <n v="4"/>
    <n v="7"/>
    <n v="0"/>
    <x v="2"/>
  </r>
  <r>
    <n v="32"/>
    <x v="0"/>
    <s v="Travel_Rarely"/>
    <n v="1033"/>
    <x v="1"/>
    <n v="9"/>
    <x v="3"/>
    <x v="2"/>
    <n v="1"/>
    <n v="190"/>
    <n v="1"/>
    <x v="0"/>
    <n v="41"/>
    <n v="3"/>
    <n v="1"/>
    <x v="2"/>
    <n v="1"/>
    <x v="0"/>
    <n v="4200"/>
    <n v="10224"/>
    <n v="7"/>
    <s v="Y"/>
    <s v="No"/>
    <n v="22"/>
    <n v="4"/>
    <n v="1"/>
    <n v="80"/>
    <n v="0"/>
    <n v="10"/>
    <n v="2"/>
    <n v="4"/>
    <n v="5"/>
    <n v="4"/>
    <n v="0"/>
    <n v="4"/>
    <n v="1"/>
    <x v="2"/>
  </r>
  <r>
    <n v="45"/>
    <x v="1"/>
    <s v="Travel_Rarely"/>
    <n v="1316"/>
    <x v="1"/>
    <n v="29"/>
    <x v="3"/>
    <x v="2"/>
    <n v="1"/>
    <n v="192"/>
    <n v="3"/>
    <x v="1"/>
    <n v="83"/>
    <n v="3"/>
    <n v="1"/>
    <x v="1"/>
    <n v="4"/>
    <x v="0"/>
    <n v="3452"/>
    <n v="9752"/>
    <n v="5"/>
    <s v="Y"/>
    <s v="No"/>
    <n v="13"/>
    <n v="3"/>
    <n v="2"/>
    <n v="80"/>
    <n v="0"/>
    <n v="9"/>
    <n v="2"/>
    <n v="2"/>
    <n v="6"/>
    <n v="5"/>
    <n v="0"/>
    <n v="3"/>
    <n v="0"/>
    <x v="1"/>
  </r>
  <r>
    <n v="38"/>
    <x v="1"/>
    <s v="Travel_Rarely"/>
    <n v="364"/>
    <x v="1"/>
    <n v="3"/>
    <x v="4"/>
    <x v="4"/>
    <n v="1"/>
    <n v="193"/>
    <n v="4"/>
    <x v="0"/>
    <n v="32"/>
    <n v="3"/>
    <n v="2"/>
    <x v="1"/>
    <n v="3"/>
    <x v="0"/>
    <n v="4317"/>
    <n v="2302"/>
    <n v="3"/>
    <s v="Y"/>
    <s v="Yes"/>
    <n v="20"/>
    <n v="4"/>
    <n v="2"/>
    <n v="80"/>
    <n v="0"/>
    <n v="19"/>
    <n v="2"/>
    <n v="3"/>
    <n v="3"/>
    <n v="2"/>
    <n v="2"/>
    <n v="2"/>
    <n v="0"/>
    <x v="0"/>
  </r>
  <r>
    <n v="30"/>
    <x v="1"/>
    <s v="Travel_Rarely"/>
    <n v="438"/>
    <x v="1"/>
    <n v="18"/>
    <x v="3"/>
    <x v="0"/>
    <n v="1"/>
    <n v="194"/>
    <n v="1"/>
    <x v="0"/>
    <n v="75"/>
    <n v="3"/>
    <n v="1"/>
    <x v="1"/>
    <n v="3"/>
    <x v="0"/>
    <n v="2632"/>
    <n v="23910"/>
    <n v="1"/>
    <s v="Y"/>
    <s v="No"/>
    <n v="14"/>
    <n v="3"/>
    <n v="3"/>
    <n v="80"/>
    <n v="0"/>
    <n v="5"/>
    <n v="4"/>
    <n v="2"/>
    <n v="5"/>
    <n v="4"/>
    <n v="0"/>
    <n v="4"/>
    <n v="0"/>
    <x v="2"/>
  </r>
  <r>
    <n v="32"/>
    <x v="1"/>
    <s v="Travel_Frequently"/>
    <n v="689"/>
    <x v="0"/>
    <n v="9"/>
    <x v="0"/>
    <x v="2"/>
    <n v="1"/>
    <n v="195"/>
    <n v="4"/>
    <x v="1"/>
    <n v="35"/>
    <n v="1"/>
    <n v="2"/>
    <x v="0"/>
    <n v="4"/>
    <x v="2"/>
    <n v="4668"/>
    <n v="22812"/>
    <n v="0"/>
    <s v="Y"/>
    <s v="No"/>
    <n v="17"/>
    <n v="3"/>
    <n v="4"/>
    <n v="80"/>
    <n v="3"/>
    <n v="9"/>
    <n v="2"/>
    <n v="4"/>
    <n v="8"/>
    <n v="7"/>
    <n v="0"/>
    <n v="7"/>
    <n v="0"/>
    <x v="2"/>
  </r>
  <r>
    <n v="30"/>
    <x v="1"/>
    <s v="Travel_Rarely"/>
    <n v="201"/>
    <x v="1"/>
    <n v="5"/>
    <x v="3"/>
    <x v="4"/>
    <n v="1"/>
    <n v="197"/>
    <n v="4"/>
    <x v="0"/>
    <n v="84"/>
    <n v="3"/>
    <n v="1"/>
    <x v="1"/>
    <n v="1"/>
    <x v="2"/>
    <n v="3204"/>
    <n v="10415"/>
    <n v="5"/>
    <s v="Y"/>
    <s v="No"/>
    <n v="14"/>
    <n v="3"/>
    <n v="4"/>
    <n v="80"/>
    <n v="1"/>
    <n v="8"/>
    <n v="3"/>
    <n v="3"/>
    <n v="3"/>
    <n v="2"/>
    <n v="2"/>
    <n v="2"/>
    <n v="0"/>
    <x v="2"/>
  </r>
  <r>
    <n v="30"/>
    <x v="1"/>
    <s v="Travel_Rarely"/>
    <n v="1427"/>
    <x v="1"/>
    <n v="2"/>
    <x v="1"/>
    <x v="2"/>
    <n v="1"/>
    <n v="198"/>
    <n v="2"/>
    <x v="1"/>
    <n v="35"/>
    <n v="2"/>
    <n v="1"/>
    <x v="2"/>
    <n v="4"/>
    <x v="0"/>
    <n v="2720"/>
    <n v="11162"/>
    <n v="0"/>
    <s v="Y"/>
    <s v="No"/>
    <n v="13"/>
    <n v="3"/>
    <n v="4"/>
    <n v="80"/>
    <n v="0"/>
    <n v="6"/>
    <n v="3"/>
    <n v="3"/>
    <n v="5"/>
    <n v="3"/>
    <n v="1"/>
    <n v="2"/>
    <n v="0"/>
    <x v="2"/>
  </r>
  <r>
    <n v="41"/>
    <x v="1"/>
    <s v="Travel_Frequently"/>
    <n v="857"/>
    <x v="1"/>
    <n v="10"/>
    <x v="3"/>
    <x v="0"/>
    <n v="1"/>
    <n v="199"/>
    <n v="4"/>
    <x v="1"/>
    <n v="91"/>
    <n v="2"/>
    <n v="4"/>
    <x v="5"/>
    <n v="1"/>
    <x v="2"/>
    <n v="17181"/>
    <n v="12888"/>
    <n v="4"/>
    <s v="Y"/>
    <s v="No"/>
    <n v="13"/>
    <n v="3"/>
    <n v="2"/>
    <n v="80"/>
    <n v="1"/>
    <n v="21"/>
    <n v="2"/>
    <n v="2"/>
    <n v="7"/>
    <n v="6"/>
    <n v="7"/>
    <n v="7"/>
    <n v="0"/>
    <x v="0"/>
  </r>
  <r>
    <n v="41"/>
    <x v="1"/>
    <s v="Travel_Rarely"/>
    <n v="933"/>
    <x v="1"/>
    <n v="9"/>
    <x v="2"/>
    <x v="0"/>
    <n v="1"/>
    <n v="200"/>
    <n v="3"/>
    <x v="1"/>
    <n v="94"/>
    <n v="3"/>
    <n v="1"/>
    <x v="2"/>
    <n v="1"/>
    <x v="1"/>
    <n v="2238"/>
    <n v="6961"/>
    <n v="2"/>
    <s v="Y"/>
    <s v="No"/>
    <n v="21"/>
    <n v="4"/>
    <n v="4"/>
    <n v="80"/>
    <n v="1"/>
    <n v="7"/>
    <n v="2"/>
    <n v="3"/>
    <n v="5"/>
    <n v="0"/>
    <n v="1"/>
    <n v="4"/>
    <n v="0"/>
    <x v="0"/>
  </r>
  <r>
    <n v="19"/>
    <x v="1"/>
    <s v="Travel_Rarely"/>
    <n v="1181"/>
    <x v="1"/>
    <n v="3"/>
    <x v="1"/>
    <x v="2"/>
    <n v="1"/>
    <n v="201"/>
    <n v="2"/>
    <x v="0"/>
    <n v="79"/>
    <n v="3"/>
    <n v="1"/>
    <x v="2"/>
    <n v="2"/>
    <x v="0"/>
    <n v="1483"/>
    <n v="16102"/>
    <n v="1"/>
    <s v="Y"/>
    <s v="No"/>
    <n v="14"/>
    <n v="3"/>
    <n v="4"/>
    <n v="80"/>
    <n v="0"/>
    <n v="1"/>
    <n v="3"/>
    <n v="3"/>
    <n v="1"/>
    <n v="0"/>
    <n v="0"/>
    <n v="0"/>
    <n v="0"/>
    <x v="4"/>
  </r>
  <r>
    <n v="40"/>
    <x v="1"/>
    <s v="Travel_Frequently"/>
    <n v="1395"/>
    <x v="1"/>
    <n v="26"/>
    <x v="3"/>
    <x v="2"/>
    <n v="1"/>
    <n v="202"/>
    <n v="2"/>
    <x v="0"/>
    <n v="54"/>
    <n v="3"/>
    <n v="2"/>
    <x v="1"/>
    <n v="2"/>
    <x v="2"/>
    <n v="5605"/>
    <n v="8504"/>
    <n v="1"/>
    <s v="Y"/>
    <s v="No"/>
    <n v="11"/>
    <n v="3"/>
    <n v="1"/>
    <n v="80"/>
    <n v="1"/>
    <n v="20"/>
    <n v="2"/>
    <n v="3"/>
    <n v="20"/>
    <n v="7"/>
    <n v="2"/>
    <n v="13"/>
    <n v="0"/>
    <x v="0"/>
  </r>
  <r>
    <n v="35"/>
    <x v="1"/>
    <s v="Travel_Rarely"/>
    <n v="662"/>
    <x v="0"/>
    <n v="1"/>
    <x v="4"/>
    <x v="3"/>
    <n v="1"/>
    <n v="204"/>
    <n v="3"/>
    <x v="1"/>
    <n v="94"/>
    <n v="3"/>
    <n v="3"/>
    <x v="0"/>
    <n v="2"/>
    <x v="1"/>
    <n v="7295"/>
    <n v="11439"/>
    <n v="1"/>
    <s v="Y"/>
    <s v="No"/>
    <n v="13"/>
    <n v="3"/>
    <n v="1"/>
    <n v="80"/>
    <n v="2"/>
    <n v="10"/>
    <n v="3"/>
    <n v="3"/>
    <n v="10"/>
    <n v="8"/>
    <n v="0"/>
    <n v="6"/>
    <n v="0"/>
    <x v="0"/>
  </r>
  <r>
    <n v="53"/>
    <x v="1"/>
    <s v="Travel_Rarely"/>
    <n v="1436"/>
    <x v="0"/>
    <n v="6"/>
    <x v="0"/>
    <x v="3"/>
    <n v="1"/>
    <n v="205"/>
    <n v="2"/>
    <x v="1"/>
    <n v="34"/>
    <n v="3"/>
    <n v="2"/>
    <x v="6"/>
    <n v="3"/>
    <x v="1"/>
    <n v="2306"/>
    <n v="16047"/>
    <n v="2"/>
    <s v="Y"/>
    <s v="Yes"/>
    <n v="20"/>
    <n v="4"/>
    <n v="4"/>
    <n v="80"/>
    <n v="1"/>
    <n v="13"/>
    <n v="3"/>
    <n v="1"/>
    <n v="7"/>
    <n v="7"/>
    <n v="4"/>
    <n v="5"/>
    <n v="0"/>
    <x v="1"/>
  </r>
  <r>
    <n v="45"/>
    <x v="1"/>
    <s v="Travel_Rarely"/>
    <n v="194"/>
    <x v="1"/>
    <n v="9"/>
    <x v="3"/>
    <x v="0"/>
    <n v="1"/>
    <n v="206"/>
    <n v="2"/>
    <x v="1"/>
    <n v="60"/>
    <n v="3"/>
    <n v="2"/>
    <x v="2"/>
    <n v="2"/>
    <x v="2"/>
    <n v="2348"/>
    <n v="10901"/>
    <n v="8"/>
    <s v="Y"/>
    <s v="No"/>
    <n v="18"/>
    <n v="3"/>
    <n v="3"/>
    <n v="80"/>
    <n v="1"/>
    <n v="20"/>
    <n v="2"/>
    <n v="1"/>
    <n v="17"/>
    <n v="9"/>
    <n v="0"/>
    <n v="15"/>
    <n v="0"/>
    <x v="1"/>
  </r>
  <r>
    <n v="32"/>
    <x v="1"/>
    <s v="Travel_Frequently"/>
    <n v="967"/>
    <x v="0"/>
    <n v="8"/>
    <x v="3"/>
    <x v="3"/>
    <n v="1"/>
    <n v="207"/>
    <n v="2"/>
    <x v="0"/>
    <n v="43"/>
    <n v="3"/>
    <n v="3"/>
    <x v="0"/>
    <n v="4"/>
    <x v="0"/>
    <n v="8998"/>
    <n v="15589"/>
    <n v="1"/>
    <s v="Y"/>
    <s v="No"/>
    <n v="14"/>
    <n v="3"/>
    <n v="4"/>
    <n v="80"/>
    <n v="0"/>
    <n v="9"/>
    <n v="2"/>
    <n v="3"/>
    <n v="9"/>
    <n v="8"/>
    <n v="3"/>
    <n v="7"/>
    <n v="0"/>
    <x v="2"/>
  </r>
  <r>
    <n v="29"/>
    <x v="1"/>
    <s v="Non-Travel"/>
    <n v="1496"/>
    <x v="1"/>
    <n v="1"/>
    <x v="1"/>
    <x v="4"/>
    <n v="1"/>
    <n v="208"/>
    <n v="4"/>
    <x v="1"/>
    <n v="41"/>
    <n v="3"/>
    <n v="2"/>
    <x v="3"/>
    <n v="3"/>
    <x v="1"/>
    <n v="4319"/>
    <n v="26283"/>
    <n v="1"/>
    <s v="Y"/>
    <s v="No"/>
    <n v="13"/>
    <n v="3"/>
    <n v="1"/>
    <n v="80"/>
    <n v="1"/>
    <n v="10"/>
    <n v="1"/>
    <n v="3"/>
    <n v="10"/>
    <n v="7"/>
    <n v="0"/>
    <n v="9"/>
    <n v="0"/>
    <x v="2"/>
  </r>
  <r>
    <n v="51"/>
    <x v="1"/>
    <s v="Travel_Rarely"/>
    <n v="1169"/>
    <x v="1"/>
    <n v="7"/>
    <x v="2"/>
    <x v="2"/>
    <n v="1"/>
    <n v="211"/>
    <n v="2"/>
    <x v="1"/>
    <n v="34"/>
    <n v="2"/>
    <n v="2"/>
    <x v="3"/>
    <n v="3"/>
    <x v="1"/>
    <n v="6132"/>
    <n v="13983"/>
    <n v="2"/>
    <s v="Y"/>
    <s v="No"/>
    <n v="17"/>
    <n v="3"/>
    <n v="3"/>
    <n v="80"/>
    <n v="0"/>
    <n v="10"/>
    <n v="2"/>
    <n v="3"/>
    <n v="1"/>
    <n v="0"/>
    <n v="0"/>
    <n v="0"/>
    <n v="0"/>
    <x v="1"/>
  </r>
  <r>
    <n v="58"/>
    <x v="1"/>
    <s v="Travel_Rarely"/>
    <n v="1145"/>
    <x v="1"/>
    <n v="9"/>
    <x v="3"/>
    <x v="2"/>
    <n v="1"/>
    <n v="214"/>
    <n v="2"/>
    <x v="0"/>
    <n v="75"/>
    <n v="2"/>
    <n v="1"/>
    <x v="1"/>
    <n v="2"/>
    <x v="1"/>
    <n v="3346"/>
    <n v="11873"/>
    <n v="4"/>
    <s v="Y"/>
    <s v="Yes"/>
    <n v="20"/>
    <n v="4"/>
    <n v="2"/>
    <n v="80"/>
    <n v="1"/>
    <n v="9"/>
    <n v="3"/>
    <n v="2"/>
    <n v="1"/>
    <n v="0"/>
    <n v="0"/>
    <n v="0"/>
    <n v="0"/>
    <x v="3"/>
  </r>
  <r>
    <n v="40"/>
    <x v="1"/>
    <s v="Travel_Rarely"/>
    <n v="630"/>
    <x v="0"/>
    <n v="4"/>
    <x v="2"/>
    <x v="3"/>
    <n v="1"/>
    <n v="215"/>
    <n v="3"/>
    <x v="1"/>
    <n v="67"/>
    <n v="2"/>
    <n v="3"/>
    <x v="0"/>
    <n v="4"/>
    <x v="1"/>
    <n v="10855"/>
    <n v="8552"/>
    <n v="7"/>
    <s v="Y"/>
    <s v="No"/>
    <n v="11"/>
    <n v="3"/>
    <n v="1"/>
    <n v="80"/>
    <n v="1"/>
    <n v="15"/>
    <n v="2"/>
    <n v="2"/>
    <n v="12"/>
    <n v="11"/>
    <n v="2"/>
    <n v="11"/>
    <n v="0"/>
    <x v="0"/>
  </r>
  <r>
    <n v="34"/>
    <x v="1"/>
    <s v="Travel_Frequently"/>
    <n v="303"/>
    <x v="0"/>
    <n v="2"/>
    <x v="2"/>
    <x v="3"/>
    <n v="1"/>
    <n v="216"/>
    <n v="3"/>
    <x v="0"/>
    <n v="75"/>
    <n v="3"/>
    <n v="1"/>
    <x v="6"/>
    <n v="3"/>
    <x v="1"/>
    <n v="2231"/>
    <n v="11314"/>
    <n v="6"/>
    <s v="Y"/>
    <s v="No"/>
    <n v="18"/>
    <n v="3"/>
    <n v="4"/>
    <n v="80"/>
    <n v="1"/>
    <n v="6"/>
    <n v="3"/>
    <n v="3"/>
    <n v="4"/>
    <n v="3"/>
    <n v="1"/>
    <n v="2"/>
    <n v="0"/>
    <x v="2"/>
  </r>
  <r>
    <n v="22"/>
    <x v="1"/>
    <s v="Travel_Rarely"/>
    <n v="1256"/>
    <x v="1"/>
    <n v="19"/>
    <x v="1"/>
    <x v="2"/>
    <n v="1"/>
    <n v="217"/>
    <n v="3"/>
    <x v="1"/>
    <n v="80"/>
    <n v="3"/>
    <n v="1"/>
    <x v="1"/>
    <n v="4"/>
    <x v="1"/>
    <n v="2323"/>
    <n v="11992"/>
    <n v="1"/>
    <s v="Y"/>
    <s v="No"/>
    <n v="24"/>
    <n v="4"/>
    <n v="1"/>
    <n v="80"/>
    <n v="2"/>
    <n v="2"/>
    <n v="6"/>
    <n v="3"/>
    <n v="2"/>
    <n v="2"/>
    <n v="2"/>
    <n v="2"/>
    <n v="0"/>
    <x v="4"/>
  </r>
  <r>
    <n v="27"/>
    <x v="1"/>
    <s v="Non-Travel"/>
    <n v="691"/>
    <x v="1"/>
    <n v="9"/>
    <x v="3"/>
    <x v="2"/>
    <n v="1"/>
    <n v="218"/>
    <n v="4"/>
    <x v="1"/>
    <n v="57"/>
    <n v="3"/>
    <n v="1"/>
    <x v="1"/>
    <n v="2"/>
    <x v="2"/>
    <n v="2024"/>
    <n v="5970"/>
    <n v="6"/>
    <s v="Y"/>
    <s v="No"/>
    <n v="18"/>
    <n v="3"/>
    <n v="4"/>
    <n v="80"/>
    <n v="1"/>
    <n v="6"/>
    <n v="1"/>
    <n v="1"/>
    <n v="2"/>
    <n v="2"/>
    <n v="2"/>
    <n v="2"/>
    <n v="0"/>
    <x v="2"/>
  </r>
  <r>
    <n v="28"/>
    <x v="1"/>
    <s v="Travel_Rarely"/>
    <n v="440"/>
    <x v="1"/>
    <n v="21"/>
    <x v="3"/>
    <x v="2"/>
    <n v="1"/>
    <n v="221"/>
    <n v="3"/>
    <x v="1"/>
    <n v="42"/>
    <n v="3"/>
    <n v="1"/>
    <x v="1"/>
    <n v="4"/>
    <x v="1"/>
    <n v="2713"/>
    <n v="6672"/>
    <n v="1"/>
    <s v="Y"/>
    <s v="No"/>
    <n v="11"/>
    <n v="3"/>
    <n v="3"/>
    <n v="80"/>
    <n v="1"/>
    <n v="5"/>
    <n v="2"/>
    <n v="1"/>
    <n v="5"/>
    <n v="2"/>
    <n v="0"/>
    <n v="2"/>
    <n v="0"/>
    <x v="2"/>
  </r>
  <r>
    <n v="57"/>
    <x v="1"/>
    <s v="Travel_Rarely"/>
    <n v="334"/>
    <x v="1"/>
    <n v="24"/>
    <x v="0"/>
    <x v="0"/>
    <n v="1"/>
    <n v="223"/>
    <n v="3"/>
    <x v="1"/>
    <n v="83"/>
    <n v="4"/>
    <n v="3"/>
    <x v="4"/>
    <n v="4"/>
    <x v="2"/>
    <n v="9439"/>
    <n v="23402"/>
    <n v="3"/>
    <s v="Y"/>
    <s v="Yes"/>
    <n v="16"/>
    <n v="3"/>
    <n v="2"/>
    <n v="80"/>
    <n v="1"/>
    <n v="12"/>
    <n v="2"/>
    <n v="1"/>
    <n v="5"/>
    <n v="3"/>
    <n v="1"/>
    <n v="4"/>
    <n v="0"/>
    <x v="3"/>
  </r>
  <r>
    <n v="27"/>
    <x v="1"/>
    <s v="Non-Travel"/>
    <n v="1450"/>
    <x v="1"/>
    <n v="3"/>
    <x v="3"/>
    <x v="2"/>
    <n v="1"/>
    <n v="224"/>
    <n v="3"/>
    <x v="1"/>
    <n v="79"/>
    <n v="2"/>
    <n v="1"/>
    <x v="1"/>
    <n v="3"/>
    <x v="2"/>
    <n v="2566"/>
    <n v="25326"/>
    <n v="1"/>
    <s v="Y"/>
    <s v="Yes"/>
    <n v="15"/>
    <n v="3"/>
    <n v="4"/>
    <n v="80"/>
    <n v="1"/>
    <n v="1"/>
    <n v="2"/>
    <n v="2"/>
    <n v="1"/>
    <n v="1"/>
    <n v="0"/>
    <n v="1"/>
    <n v="0"/>
    <x v="2"/>
  </r>
  <r>
    <n v="50"/>
    <x v="1"/>
    <s v="Travel_Rarely"/>
    <n v="1452"/>
    <x v="1"/>
    <n v="11"/>
    <x v="3"/>
    <x v="0"/>
    <n v="1"/>
    <n v="226"/>
    <n v="3"/>
    <x v="0"/>
    <n v="53"/>
    <n v="3"/>
    <n v="5"/>
    <x v="5"/>
    <n v="2"/>
    <x v="0"/>
    <n v="19926"/>
    <n v="17053"/>
    <n v="3"/>
    <s v="Y"/>
    <s v="No"/>
    <n v="15"/>
    <n v="3"/>
    <n v="2"/>
    <n v="80"/>
    <n v="0"/>
    <n v="21"/>
    <n v="5"/>
    <n v="3"/>
    <n v="5"/>
    <n v="4"/>
    <n v="4"/>
    <n v="4"/>
    <n v="0"/>
    <x v="1"/>
  </r>
  <r>
    <n v="41"/>
    <x v="1"/>
    <s v="Travel_Rarely"/>
    <n v="465"/>
    <x v="1"/>
    <n v="14"/>
    <x v="3"/>
    <x v="0"/>
    <n v="1"/>
    <n v="227"/>
    <n v="1"/>
    <x v="1"/>
    <n v="56"/>
    <n v="3"/>
    <n v="1"/>
    <x v="1"/>
    <n v="3"/>
    <x v="2"/>
    <n v="2451"/>
    <n v="4609"/>
    <n v="4"/>
    <s v="Y"/>
    <s v="No"/>
    <n v="12"/>
    <n v="3"/>
    <n v="1"/>
    <n v="80"/>
    <n v="1"/>
    <n v="13"/>
    <n v="2"/>
    <n v="3"/>
    <n v="9"/>
    <n v="8"/>
    <n v="1"/>
    <n v="8"/>
    <n v="0"/>
    <x v="0"/>
  </r>
  <r>
    <n v="30"/>
    <x v="1"/>
    <s v="Travel_Rarely"/>
    <n v="1339"/>
    <x v="0"/>
    <n v="5"/>
    <x v="3"/>
    <x v="0"/>
    <n v="1"/>
    <n v="228"/>
    <n v="2"/>
    <x v="0"/>
    <n v="41"/>
    <n v="3"/>
    <n v="3"/>
    <x v="0"/>
    <n v="4"/>
    <x v="1"/>
    <n v="9419"/>
    <n v="8053"/>
    <n v="2"/>
    <s v="Y"/>
    <s v="No"/>
    <n v="12"/>
    <n v="3"/>
    <n v="3"/>
    <n v="80"/>
    <n v="1"/>
    <n v="12"/>
    <n v="2"/>
    <n v="3"/>
    <n v="10"/>
    <n v="9"/>
    <n v="7"/>
    <n v="4"/>
    <n v="0"/>
    <x v="2"/>
  </r>
  <r>
    <n v="38"/>
    <x v="1"/>
    <s v="Travel_Rarely"/>
    <n v="702"/>
    <x v="0"/>
    <n v="1"/>
    <x v="2"/>
    <x v="0"/>
    <n v="1"/>
    <n v="230"/>
    <n v="1"/>
    <x v="0"/>
    <n v="59"/>
    <n v="2"/>
    <n v="2"/>
    <x v="0"/>
    <n v="4"/>
    <x v="0"/>
    <n v="8686"/>
    <n v="12930"/>
    <n v="4"/>
    <s v="Y"/>
    <s v="No"/>
    <n v="22"/>
    <n v="4"/>
    <n v="3"/>
    <n v="80"/>
    <n v="0"/>
    <n v="12"/>
    <n v="2"/>
    <n v="4"/>
    <n v="8"/>
    <n v="3"/>
    <n v="0"/>
    <n v="7"/>
    <n v="0"/>
    <x v="0"/>
  </r>
  <r>
    <n v="32"/>
    <x v="1"/>
    <s v="Travel_Rarely"/>
    <n v="120"/>
    <x v="1"/>
    <n v="6"/>
    <x v="4"/>
    <x v="0"/>
    <n v="1"/>
    <n v="231"/>
    <n v="3"/>
    <x v="1"/>
    <n v="43"/>
    <n v="3"/>
    <n v="1"/>
    <x v="1"/>
    <n v="3"/>
    <x v="0"/>
    <n v="3038"/>
    <n v="12430"/>
    <n v="3"/>
    <s v="Y"/>
    <s v="No"/>
    <n v="20"/>
    <n v="4"/>
    <n v="1"/>
    <n v="80"/>
    <n v="0"/>
    <n v="8"/>
    <n v="2"/>
    <n v="3"/>
    <n v="5"/>
    <n v="4"/>
    <n v="1"/>
    <n v="4"/>
    <n v="0"/>
    <x v="2"/>
  </r>
  <r>
    <n v="27"/>
    <x v="1"/>
    <s v="Travel_Rarely"/>
    <n v="1157"/>
    <x v="1"/>
    <n v="17"/>
    <x v="3"/>
    <x v="4"/>
    <n v="1"/>
    <n v="233"/>
    <n v="3"/>
    <x v="1"/>
    <n v="51"/>
    <n v="3"/>
    <n v="1"/>
    <x v="1"/>
    <n v="2"/>
    <x v="1"/>
    <n v="3058"/>
    <n v="13364"/>
    <n v="0"/>
    <s v="Y"/>
    <s v="Yes"/>
    <n v="16"/>
    <n v="3"/>
    <n v="4"/>
    <n v="80"/>
    <n v="1"/>
    <n v="6"/>
    <n v="3"/>
    <n v="2"/>
    <n v="5"/>
    <n v="2"/>
    <n v="1"/>
    <n v="1"/>
    <n v="0"/>
    <x v="2"/>
  </r>
  <r>
    <n v="19"/>
    <x v="0"/>
    <s v="Travel_Frequently"/>
    <n v="602"/>
    <x v="0"/>
    <n v="1"/>
    <x v="1"/>
    <x v="4"/>
    <n v="1"/>
    <n v="235"/>
    <n v="3"/>
    <x v="0"/>
    <n v="100"/>
    <n v="1"/>
    <n v="1"/>
    <x v="6"/>
    <n v="1"/>
    <x v="0"/>
    <n v="2325"/>
    <n v="20989"/>
    <n v="0"/>
    <s v="Y"/>
    <s v="No"/>
    <n v="21"/>
    <n v="4"/>
    <n v="1"/>
    <n v="80"/>
    <n v="0"/>
    <n v="1"/>
    <n v="5"/>
    <n v="4"/>
    <n v="0"/>
    <n v="0"/>
    <n v="0"/>
    <n v="0"/>
    <n v="1"/>
    <x v="4"/>
  </r>
  <r>
    <n v="36"/>
    <x v="1"/>
    <s v="Travel_Frequently"/>
    <n v="1480"/>
    <x v="1"/>
    <n v="3"/>
    <x v="0"/>
    <x v="2"/>
    <n v="1"/>
    <n v="238"/>
    <n v="4"/>
    <x v="1"/>
    <n v="30"/>
    <n v="3"/>
    <n v="1"/>
    <x v="2"/>
    <n v="2"/>
    <x v="0"/>
    <n v="2088"/>
    <n v="15062"/>
    <n v="4"/>
    <s v="Y"/>
    <s v="No"/>
    <n v="12"/>
    <n v="3"/>
    <n v="3"/>
    <n v="80"/>
    <n v="0"/>
    <n v="13"/>
    <n v="3"/>
    <n v="2"/>
    <n v="8"/>
    <n v="7"/>
    <n v="7"/>
    <n v="2"/>
    <n v="0"/>
    <x v="0"/>
  </r>
  <r>
    <n v="30"/>
    <x v="1"/>
    <s v="Non-Travel"/>
    <n v="111"/>
    <x v="1"/>
    <n v="9"/>
    <x v="3"/>
    <x v="2"/>
    <n v="1"/>
    <n v="239"/>
    <n v="3"/>
    <x v="1"/>
    <n v="66"/>
    <n v="3"/>
    <n v="2"/>
    <x v="2"/>
    <n v="1"/>
    <x v="2"/>
    <n v="3072"/>
    <n v="11012"/>
    <n v="1"/>
    <s v="Y"/>
    <s v="No"/>
    <n v="11"/>
    <n v="3"/>
    <n v="3"/>
    <n v="80"/>
    <n v="2"/>
    <n v="12"/>
    <n v="4"/>
    <n v="3"/>
    <n v="12"/>
    <n v="9"/>
    <n v="6"/>
    <n v="10"/>
    <n v="0"/>
    <x v="2"/>
  </r>
  <r>
    <n v="45"/>
    <x v="1"/>
    <s v="Travel_Rarely"/>
    <n v="1268"/>
    <x v="0"/>
    <n v="4"/>
    <x v="0"/>
    <x v="0"/>
    <n v="1"/>
    <n v="240"/>
    <n v="3"/>
    <x v="0"/>
    <n v="30"/>
    <n v="3"/>
    <n v="2"/>
    <x v="0"/>
    <n v="1"/>
    <x v="2"/>
    <n v="5006"/>
    <n v="6319"/>
    <n v="4"/>
    <s v="Y"/>
    <s v="Yes"/>
    <n v="11"/>
    <n v="3"/>
    <n v="1"/>
    <n v="80"/>
    <n v="1"/>
    <n v="9"/>
    <n v="3"/>
    <n v="4"/>
    <n v="5"/>
    <n v="4"/>
    <n v="0"/>
    <n v="3"/>
    <n v="0"/>
    <x v="1"/>
  </r>
  <r>
    <n v="56"/>
    <x v="1"/>
    <s v="Travel_Rarely"/>
    <n v="713"/>
    <x v="1"/>
    <n v="8"/>
    <x v="3"/>
    <x v="0"/>
    <n v="1"/>
    <n v="241"/>
    <n v="3"/>
    <x v="0"/>
    <n v="67"/>
    <n v="3"/>
    <n v="1"/>
    <x v="1"/>
    <n v="1"/>
    <x v="2"/>
    <n v="4257"/>
    <n v="13939"/>
    <n v="4"/>
    <s v="Y"/>
    <s v="Yes"/>
    <n v="18"/>
    <n v="3"/>
    <n v="3"/>
    <n v="80"/>
    <n v="1"/>
    <n v="19"/>
    <n v="3"/>
    <n v="3"/>
    <n v="2"/>
    <n v="2"/>
    <n v="2"/>
    <n v="2"/>
    <n v="0"/>
    <x v="3"/>
  </r>
  <r>
    <n v="33"/>
    <x v="1"/>
    <s v="Travel_Rarely"/>
    <n v="134"/>
    <x v="1"/>
    <n v="2"/>
    <x v="3"/>
    <x v="0"/>
    <n v="1"/>
    <n v="242"/>
    <n v="3"/>
    <x v="1"/>
    <n v="90"/>
    <n v="3"/>
    <n v="1"/>
    <x v="1"/>
    <n v="4"/>
    <x v="0"/>
    <n v="2500"/>
    <n v="10515"/>
    <n v="0"/>
    <s v="Y"/>
    <s v="No"/>
    <n v="14"/>
    <n v="3"/>
    <n v="1"/>
    <n v="80"/>
    <n v="0"/>
    <n v="4"/>
    <n v="2"/>
    <n v="4"/>
    <n v="3"/>
    <n v="1"/>
    <n v="0"/>
    <n v="2"/>
    <n v="0"/>
    <x v="2"/>
  </r>
  <r>
    <n v="19"/>
    <x v="0"/>
    <s v="Travel_Rarely"/>
    <n v="303"/>
    <x v="1"/>
    <n v="2"/>
    <x v="3"/>
    <x v="0"/>
    <n v="1"/>
    <n v="243"/>
    <n v="2"/>
    <x v="1"/>
    <n v="47"/>
    <n v="2"/>
    <n v="1"/>
    <x v="2"/>
    <n v="4"/>
    <x v="0"/>
    <n v="1102"/>
    <n v="9241"/>
    <n v="1"/>
    <s v="Y"/>
    <s v="No"/>
    <n v="22"/>
    <n v="4"/>
    <n v="3"/>
    <n v="80"/>
    <n v="0"/>
    <n v="1"/>
    <n v="3"/>
    <n v="2"/>
    <n v="1"/>
    <n v="0"/>
    <n v="1"/>
    <n v="0"/>
    <n v="1"/>
    <x v="4"/>
  </r>
  <r>
    <n v="46"/>
    <x v="1"/>
    <s v="Travel_Rarely"/>
    <n v="526"/>
    <x v="0"/>
    <n v="1"/>
    <x v="0"/>
    <x v="3"/>
    <n v="1"/>
    <n v="244"/>
    <n v="2"/>
    <x v="0"/>
    <n v="92"/>
    <n v="3"/>
    <n v="3"/>
    <x v="0"/>
    <n v="1"/>
    <x v="2"/>
    <n v="10453"/>
    <n v="2137"/>
    <n v="1"/>
    <s v="Y"/>
    <s v="No"/>
    <n v="25"/>
    <n v="4"/>
    <n v="3"/>
    <n v="80"/>
    <n v="3"/>
    <n v="24"/>
    <n v="2"/>
    <n v="3"/>
    <n v="24"/>
    <n v="13"/>
    <n v="15"/>
    <n v="7"/>
    <n v="0"/>
    <x v="1"/>
  </r>
  <r>
    <n v="38"/>
    <x v="1"/>
    <s v="Travel_Rarely"/>
    <n v="1380"/>
    <x v="1"/>
    <n v="9"/>
    <x v="0"/>
    <x v="0"/>
    <n v="1"/>
    <n v="245"/>
    <n v="3"/>
    <x v="0"/>
    <n v="75"/>
    <n v="3"/>
    <n v="1"/>
    <x v="2"/>
    <n v="4"/>
    <x v="0"/>
    <n v="2288"/>
    <n v="6319"/>
    <n v="1"/>
    <s v="Y"/>
    <s v="No"/>
    <n v="12"/>
    <n v="3"/>
    <n v="3"/>
    <n v="80"/>
    <n v="0"/>
    <n v="2"/>
    <n v="3"/>
    <n v="3"/>
    <n v="2"/>
    <n v="2"/>
    <n v="2"/>
    <n v="1"/>
    <n v="0"/>
    <x v="0"/>
  </r>
  <r>
    <n v="31"/>
    <x v="1"/>
    <s v="Travel_Rarely"/>
    <n v="140"/>
    <x v="1"/>
    <n v="12"/>
    <x v="1"/>
    <x v="2"/>
    <n v="1"/>
    <n v="246"/>
    <n v="3"/>
    <x v="0"/>
    <n v="95"/>
    <n v="3"/>
    <n v="1"/>
    <x v="1"/>
    <n v="4"/>
    <x v="1"/>
    <n v="3929"/>
    <n v="6984"/>
    <n v="8"/>
    <s v="Y"/>
    <s v="Yes"/>
    <n v="23"/>
    <n v="4"/>
    <n v="3"/>
    <n v="80"/>
    <n v="1"/>
    <n v="7"/>
    <n v="0"/>
    <n v="3"/>
    <n v="4"/>
    <n v="2"/>
    <n v="0"/>
    <n v="2"/>
    <n v="0"/>
    <x v="2"/>
  </r>
  <r>
    <n v="34"/>
    <x v="1"/>
    <s v="Travel_Rarely"/>
    <n v="629"/>
    <x v="1"/>
    <n v="27"/>
    <x v="0"/>
    <x v="2"/>
    <n v="1"/>
    <n v="247"/>
    <n v="4"/>
    <x v="0"/>
    <n v="95"/>
    <n v="3"/>
    <n v="1"/>
    <x v="1"/>
    <n v="2"/>
    <x v="0"/>
    <n v="2311"/>
    <n v="5711"/>
    <n v="2"/>
    <s v="Y"/>
    <s v="No"/>
    <n v="15"/>
    <n v="3"/>
    <n v="4"/>
    <n v="80"/>
    <n v="0"/>
    <n v="9"/>
    <n v="3"/>
    <n v="3"/>
    <n v="3"/>
    <n v="2"/>
    <n v="1"/>
    <n v="2"/>
    <n v="0"/>
    <x v="2"/>
  </r>
  <r>
    <n v="41"/>
    <x v="0"/>
    <s v="Travel_Rarely"/>
    <n v="1356"/>
    <x v="0"/>
    <n v="20"/>
    <x v="0"/>
    <x v="3"/>
    <n v="1"/>
    <n v="248"/>
    <n v="2"/>
    <x v="0"/>
    <n v="70"/>
    <n v="3"/>
    <n v="1"/>
    <x v="6"/>
    <n v="2"/>
    <x v="0"/>
    <n v="3140"/>
    <n v="21728"/>
    <n v="1"/>
    <s v="Y"/>
    <s v="Yes"/>
    <n v="22"/>
    <n v="4"/>
    <n v="4"/>
    <n v="80"/>
    <n v="0"/>
    <n v="4"/>
    <n v="5"/>
    <n v="2"/>
    <n v="4"/>
    <n v="3"/>
    <n v="0"/>
    <n v="2"/>
    <n v="1"/>
    <x v="0"/>
  </r>
  <r>
    <n v="50"/>
    <x v="1"/>
    <s v="Travel_Rarely"/>
    <n v="328"/>
    <x v="1"/>
    <n v="1"/>
    <x v="3"/>
    <x v="2"/>
    <n v="1"/>
    <n v="249"/>
    <n v="3"/>
    <x v="1"/>
    <n v="86"/>
    <n v="2"/>
    <n v="1"/>
    <x v="2"/>
    <n v="3"/>
    <x v="1"/>
    <n v="3690"/>
    <n v="3425"/>
    <n v="2"/>
    <s v="Y"/>
    <s v="No"/>
    <n v="15"/>
    <n v="3"/>
    <n v="4"/>
    <n v="80"/>
    <n v="1"/>
    <n v="5"/>
    <n v="2"/>
    <n v="2"/>
    <n v="3"/>
    <n v="2"/>
    <n v="0"/>
    <n v="2"/>
    <n v="0"/>
    <x v="1"/>
  </r>
  <r>
    <n v="53"/>
    <x v="1"/>
    <s v="Travel_Rarely"/>
    <n v="1084"/>
    <x v="1"/>
    <n v="13"/>
    <x v="0"/>
    <x v="2"/>
    <n v="1"/>
    <n v="250"/>
    <n v="4"/>
    <x v="0"/>
    <n v="57"/>
    <n v="4"/>
    <n v="2"/>
    <x v="3"/>
    <n v="1"/>
    <x v="2"/>
    <n v="4450"/>
    <n v="26250"/>
    <n v="1"/>
    <s v="Y"/>
    <s v="No"/>
    <n v="11"/>
    <n v="3"/>
    <n v="3"/>
    <n v="80"/>
    <n v="2"/>
    <n v="5"/>
    <n v="3"/>
    <n v="3"/>
    <n v="4"/>
    <n v="2"/>
    <n v="1"/>
    <n v="3"/>
    <n v="0"/>
    <x v="1"/>
  </r>
  <r>
    <n v="33"/>
    <x v="1"/>
    <s v="Travel_Rarely"/>
    <n v="931"/>
    <x v="1"/>
    <n v="14"/>
    <x v="3"/>
    <x v="2"/>
    <n v="1"/>
    <n v="252"/>
    <n v="4"/>
    <x v="0"/>
    <n v="72"/>
    <n v="3"/>
    <n v="1"/>
    <x v="1"/>
    <n v="2"/>
    <x v="1"/>
    <n v="2756"/>
    <n v="4673"/>
    <n v="1"/>
    <s v="Y"/>
    <s v="No"/>
    <n v="13"/>
    <n v="3"/>
    <n v="4"/>
    <n v="80"/>
    <n v="1"/>
    <n v="8"/>
    <n v="5"/>
    <n v="3"/>
    <n v="8"/>
    <n v="7"/>
    <n v="1"/>
    <n v="6"/>
    <n v="0"/>
    <x v="2"/>
  </r>
  <r>
    <n v="40"/>
    <x v="1"/>
    <s v="Travel_Rarely"/>
    <n v="989"/>
    <x v="1"/>
    <n v="4"/>
    <x v="1"/>
    <x v="2"/>
    <n v="1"/>
    <n v="253"/>
    <n v="4"/>
    <x v="0"/>
    <n v="46"/>
    <n v="3"/>
    <n v="5"/>
    <x v="5"/>
    <n v="3"/>
    <x v="1"/>
    <n v="19033"/>
    <n v="6499"/>
    <n v="1"/>
    <s v="Y"/>
    <s v="No"/>
    <n v="14"/>
    <n v="3"/>
    <n v="2"/>
    <n v="80"/>
    <n v="1"/>
    <n v="21"/>
    <n v="2"/>
    <n v="3"/>
    <n v="20"/>
    <n v="8"/>
    <n v="9"/>
    <n v="9"/>
    <n v="0"/>
    <x v="0"/>
  </r>
  <r>
    <n v="55"/>
    <x v="1"/>
    <s v="Travel_Rarely"/>
    <n v="692"/>
    <x v="1"/>
    <n v="14"/>
    <x v="2"/>
    <x v="2"/>
    <n v="1"/>
    <n v="254"/>
    <n v="3"/>
    <x v="1"/>
    <n v="61"/>
    <n v="4"/>
    <n v="5"/>
    <x v="7"/>
    <n v="2"/>
    <x v="0"/>
    <n v="18722"/>
    <n v="13339"/>
    <n v="8"/>
    <s v="Y"/>
    <s v="No"/>
    <n v="11"/>
    <n v="3"/>
    <n v="4"/>
    <n v="80"/>
    <n v="0"/>
    <n v="36"/>
    <n v="3"/>
    <n v="3"/>
    <n v="24"/>
    <n v="15"/>
    <n v="2"/>
    <n v="15"/>
    <n v="0"/>
    <x v="3"/>
  </r>
  <r>
    <n v="34"/>
    <x v="1"/>
    <s v="Travel_Frequently"/>
    <n v="1069"/>
    <x v="1"/>
    <n v="2"/>
    <x v="1"/>
    <x v="0"/>
    <n v="1"/>
    <n v="256"/>
    <n v="4"/>
    <x v="1"/>
    <n v="45"/>
    <n v="2"/>
    <n v="2"/>
    <x v="3"/>
    <n v="3"/>
    <x v="1"/>
    <n v="9547"/>
    <n v="14074"/>
    <n v="1"/>
    <s v="Y"/>
    <s v="No"/>
    <n v="17"/>
    <n v="3"/>
    <n v="3"/>
    <n v="80"/>
    <n v="0"/>
    <n v="10"/>
    <n v="2"/>
    <n v="2"/>
    <n v="10"/>
    <n v="9"/>
    <n v="1"/>
    <n v="9"/>
    <n v="0"/>
    <x v="2"/>
  </r>
  <r>
    <n v="51"/>
    <x v="1"/>
    <s v="Travel_Rarely"/>
    <n v="313"/>
    <x v="1"/>
    <n v="3"/>
    <x v="3"/>
    <x v="2"/>
    <n v="1"/>
    <n v="258"/>
    <n v="4"/>
    <x v="0"/>
    <n v="98"/>
    <n v="3"/>
    <n v="4"/>
    <x v="4"/>
    <n v="2"/>
    <x v="0"/>
    <n v="13734"/>
    <n v="7192"/>
    <n v="3"/>
    <s v="Y"/>
    <s v="No"/>
    <n v="18"/>
    <n v="3"/>
    <n v="3"/>
    <n v="80"/>
    <n v="0"/>
    <n v="21"/>
    <n v="6"/>
    <n v="3"/>
    <n v="7"/>
    <n v="7"/>
    <n v="1"/>
    <n v="0"/>
    <n v="0"/>
    <x v="1"/>
  </r>
  <r>
    <n v="52"/>
    <x v="1"/>
    <s v="Travel_Rarely"/>
    <n v="699"/>
    <x v="1"/>
    <n v="1"/>
    <x v="2"/>
    <x v="0"/>
    <n v="1"/>
    <n v="259"/>
    <n v="3"/>
    <x v="1"/>
    <n v="65"/>
    <n v="2"/>
    <n v="5"/>
    <x v="5"/>
    <n v="3"/>
    <x v="1"/>
    <n v="19999"/>
    <n v="5678"/>
    <n v="0"/>
    <s v="Y"/>
    <s v="No"/>
    <n v="14"/>
    <n v="3"/>
    <n v="1"/>
    <n v="80"/>
    <n v="1"/>
    <n v="34"/>
    <n v="5"/>
    <n v="3"/>
    <n v="33"/>
    <n v="18"/>
    <n v="11"/>
    <n v="9"/>
    <n v="0"/>
    <x v="1"/>
  </r>
  <r>
    <n v="27"/>
    <x v="1"/>
    <s v="Travel_Rarely"/>
    <n v="894"/>
    <x v="1"/>
    <n v="9"/>
    <x v="3"/>
    <x v="2"/>
    <n v="1"/>
    <n v="260"/>
    <n v="4"/>
    <x v="0"/>
    <n v="99"/>
    <n v="3"/>
    <n v="1"/>
    <x v="1"/>
    <n v="2"/>
    <x v="0"/>
    <n v="2279"/>
    <n v="11781"/>
    <n v="1"/>
    <s v="Y"/>
    <s v="No"/>
    <n v="16"/>
    <n v="3"/>
    <n v="4"/>
    <n v="80"/>
    <n v="0"/>
    <n v="7"/>
    <n v="2"/>
    <n v="2"/>
    <n v="7"/>
    <n v="7"/>
    <n v="0"/>
    <n v="3"/>
    <n v="0"/>
    <x v="2"/>
  </r>
  <r>
    <n v="35"/>
    <x v="0"/>
    <s v="Travel_Rarely"/>
    <n v="556"/>
    <x v="1"/>
    <n v="23"/>
    <x v="0"/>
    <x v="0"/>
    <n v="1"/>
    <n v="261"/>
    <n v="2"/>
    <x v="1"/>
    <n v="50"/>
    <n v="2"/>
    <n v="2"/>
    <x v="3"/>
    <n v="3"/>
    <x v="1"/>
    <n v="5916"/>
    <n v="15497"/>
    <n v="3"/>
    <s v="Y"/>
    <s v="Yes"/>
    <n v="13"/>
    <n v="3"/>
    <n v="1"/>
    <n v="80"/>
    <n v="0"/>
    <n v="8"/>
    <n v="1"/>
    <n v="3"/>
    <n v="1"/>
    <n v="0"/>
    <n v="0"/>
    <n v="1"/>
    <n v="1"/>
    <x v="0"/>
  </r>
  <r>
    <n v="43"/>
    <x v="1"/>
    <s v="Non-Travel"/>
    <n v="1344"/>
    <x v="1"/>
    <n v="7"/>
    <x v="3"/>
    <x v="2"/>
    <n v="1"/>
    <n v="262"/>
    <n v="4"/>
    <x v="1"/>
    <n v="37"/>
    <n v="4"/>
    <n v="1"/>
    <x v="1"/>
    <n v="4"/>
    <x v="2"/>
    <n v="2089"/>
    <n v="5228"/>
    <n v="4"/>
    <s v="Y"/>
    <s v="No"/>
    <n v="14"/>
    <n v="3"/>
    <n v="4"/>
    <n v="80"/>
    <n v="3"/>
    <n v="7"/>
    <n v="3"/>
    <n v="4"/>
    <n v="5"/>
    <n v="4"/>
    <n v="2"/>
    <n v="2"/>
    <n v="0"/>
    <x v="0"/>
  </r>
  <r>
    <n v="45"/>
    <x v="1"/>
    <s v="Non-Travel"/>
    <n v="1195"/>
    <x v="1"/>
    <n v="2"/>
    <x v="0"/>
    <x v="2"/>
    <n v="1"/>
    <n v="264"/>
    <n v="1"/>
    <x v="1"/>
    <n v="65"/>
    <n v="2"/>
    <n v="4"/>
    <x v="5"/>
    <n v="4"/>
    <x v="1"/>
    <n v="16792"/>
    <n v="20462"/>
    <n v="9"/>
    <s v="Y"/>
    <s v="No"/>
    <n v="23"/>
    <n v="4"/>
    <n v="4"/>
    <n v="80"/>
    <n v="1"/>
    <n v="22"/>
    <n v="1"/>
    <n v="3"/>
    <n v="20"/>
    <n v="8"/>
    <n v="11"/>
    <n v="8"/>
    <n v="0"/>
    <x v="1"/>
  </r>
  <r>
    <n v="37"/>
    <x v="1"/>
    <s v="Travel_Rarely"/>
    <n v="290"/>
    <x v="1"/>
    <n v="21"/>
    <x v="3"/>
    <x v="0"/>
    <n v="1"/>
    <n v="267"/>
    <n v="2"/>
    <x v="1"/>
    <n v="65"/>
    <n v="4"/>
    <n v="1"/>
    <x v="1"/>
    <n v="1"/>
    <x v="1"/>
    <n v="3564"/>
    <n v="22977"/>
    <n v="1"/>
    <s v="Y"/>
    <s v="Yes"/>
    <n v="12"/>
    <n v="3"/>
    <n v="1"/>
    <n v="80"/>
    <n v="1"/>
    <n v="8"/>
    <n v="3"/>
    <n v="2"/>
    <n v="8"/>
    <n v="7"/>
    <n v="1"/>
    <n v="7"/>
    <n v="0"/>
    <x v="0"/>
  </r>
  <r>
    <n v="35"/>
    <x v="1"/>
    <s v="Travel_Frequently"/>
    <n v="138"/>
    <x v="1"/>
    <n v="2"/>
    <x v="3"/>
    <x v="2"/>
    <n v="1"/>
    <n v="269"/>
    <n v="2"/>
    <x v="0"/>
    <n v="37"/>
    <n v="3"/>
    <n v="2"/>
    <x v="2"/>
    <n v="2"/>
    <x v="0"/>
    <n v="4425"/>
    <n v="15986"/>
    <n v="5"/>
    <s v="Y"/>
    <s v="No"/>
    <n v="11"/>
    <n v="3"/>
    <n v="4"/>
    <n v="80"/>
    <n v="0"/>
    <n v="10"/>
    <n v="5"/>
    <n v="3"/>
    <n v="6"/>
    <n v="2"/>
    <n v="1"/>
    <n v="2"/>
    <n v="0"/>
    <x v="0"/>
  </r>
  <r>
    <n v="42"/>
    <x v="1"/>
    <s v="Non-Travel"/>
    <n v="926"/>
    <x v="1"/>
    <n v="21"/>
    <x v="0"/>
    <x v="2"/>
    <n v="1"/>
    <n v="270"/>
    <n v="3"/>
    <x v="0"/>
    <n v="36"/>
    <n v="3"/>
    <n v="2"/>
    <x v="3"/>
    <n v="3"/>
    <x v="2"/>
    <n v="5265"/>
    <n v="16439"/>
    <n v="2"/>
    <s v="Y"/>
    <s v="No"/>
    <n v="16"/>
    <n v="3"/>
    <n v="2"/>
    <n v="80"/>
    <n v="1"/>
    <n v="11"/>
    <n v="5"/>
    <n v="3"/>
    <n v="5"/>
    <n v="3"/>
    <n v="0"/>
    <n v="2"/>
    <n v="0"/>
    <x v="0"/>
  </r>
  <r>
    <n v="38"/>
    <x v="1"/>
    <s v="Travel_Rarely"/>
    <n v="1261"/>
    <x v="1"/>
    <n v="2"/>
    <x v="2"/>
    <x v="0"/>
    <n v="1"/>
    <n v="271"/>
    <n v="4"/>
    <x v="1"/>
    <n v="88"/>
    <n v="3"/>
    <n v="2"/>
    <x v="3"/>
    <n v="3"/>
    <x v="1"/>
    <n v="6553"/>
    <n v="7259"/>
    <n v="9"/>
    <s v="Y"/>
    <s v="No"/>
    <n v="14"/>
    <n v="3"/>
    <n v="2"/>
    <n v="80"/>
    <n v="0"/>
    <n v="14"/>
    <n v="3"/>
    <n v="3"/>
    <n v="1"/>
    <n v="0"/>
    <n v="0"/>
    <n v="0"/>
    <n v="0"/>
    <x v="0"/>
  </r>
  <r>
    <n v="38"/>
    <x v="1"/>
    <s v="Travel_Rarely"/>
    <n v="1084"/>
    <x v="1"/>
    <n v="29"/>
    <x v="3"/>
    <x v="4"/>
    <n v="1"/>
    <n v="273"/>
    <n v="4"/>
    <x v="1"/>
    <n v="54"/>
    <n v="3"/>
    <n v="2"/>
    <x v="3"/>
    <n v="4"/>
    <x v="1"/>
    <n v="6261"/>
    <n v="4185"/>
    <n v="3"/>
    <s v="Y"/>
    <s v="No"/>
    <n v="18"/>
    <n v="3"/>
    <n v="1"/>
    <n v="80"/>
    <n v="1"/>
    <n v="9"/>
    <n v="3"/>
    <n v="1"/>
    <n v="7"/>
    <n v="7"/>
    <n v="1"/>
    <n v="7"/>
    <n v="0"/>
    <x v="0"/>
  </r>
  <r>
    <n v="27"/>
    <x v="1"/>
    <s v="Travel_Frequently"/>
    <n v="472"/>
    <x v="1"/>
    <n v="1"/>
    <x v="1"/>
    <x v="4"/>
    <n v="1"/>
    <n v="274"/>
    <n v="3"/>
    <x v="1"/>
    <n v="60"/>
    <n v="2"/>
    <n v="2"/>
    <x v="3"/>
    <n v="1"/>
    <x v="1"/>
    <n v="4298"/>
    <n v="9679"/>
    <n v="5"/>
    <s v="Y"/>
    <s v="No"/>
    <n v="19"/>
    <n v="3"/>
    <n v="3"/>
    <n v="80"/>
    <n v="1"/>
    <n v="6"/>
    <n v="1"/>
    <n v="3"/>
    <n v="2"/>
    <n v="2"/>
    <n v="2"/>
    <n v="0"/>
    <n v="0"/>
    <x v="2"/>
  </r>
  <r>
    <n v="49"/>
    <x v="1"/>
    <s v="Non-Travel"/>
    <n v="1002"/>
    <x v="1"/>
    <n v="18"/>
    <x v="2"/>
    <x v="0"/>
    <n v="1"/>
    <n v="275"/>
    <n v="4"/>
    <x v="1"/>
    <n v="92"/>
    <n v="3"/>
    <n v="2"/>
    <x v="3"/>
    <n v="4"/>
    <x v="2"/>
    <n v="6804"/>
    <n v="23793"/>
    <n v="1"/>
    <s v="Y"/>
    <s v="Yes"/>
    <n v="15"/>
    <n v="3"/>
    <n v="1"/>
    <n v="80"/>
    <n v="2"/>
    <n v="7"/>
    <n v="0"/>
    <n v="3"/>
    <n v="7"/>
    <n v="7"/>
    <n v="1"/>
    <n v="7"/>
    <n v="0"/>
    <x v="1"/>
  </r>
  <r>
    <n v="34"/>
    <x v="1"/>
    <s v="Travel_Frequently"/>
    <n v="878"/>
    <x v="1"/>
    <n v="10"/>
    <x v="2"/>
    <x v="2"/>
    <n v="1"/>
    <n v="277"/>
    <n v="4"/>
    <x v="1"/>
    <n v="43"/>
    <n v="3"/>
    <n v="1"/>
    <x v="1"/>
    <n v="3"/>
    <x v="2"/>
    <n v="3815"/>
    <n v="5972"/>
    <n v="1"/>
    <s v="Y"/>
    <s v="Yes"/>
    <n v="17"/>
    <n v="3"/>
    <n v="4"/>
    <n v="80"/>
    <n v="1"/>
    <n v="5"/>
    <n v="4"/>
    <n v="4"/>
    <n v="5"/>
    <n v="3"/>
    <n v="2"/>
    <n v="0"/>
    <n v="0"/>
    <x v="2"/>
  </r>
  <r>
    <n v="40"/>
    <x v="1"/>
    <s v="Travel_Rarely"/>
    <n v="905"/>
    <x v="1"/>
    <n v="19"/>
    <x v="0"/>
    <x v="2"/>
    <n v="1"/>
    <n v="281"/>
    <n v="3"/>
    <x v="1"/>
    <n v="99"/>
    <n v="3"/>
    <n v="2"/>
    <x v="2"/>
    <n v="4"/>
    <x v="1"/>
    <n v="2741"/>
    <n v="16523"/>
    <n v="8"/>
    <s v="Y"/>
    <s v="Yes"/>
    <n v="15"/>
    <n v="3"/>
    <n v="3"/>
    <n v="80"/>
    <n v="1"/>
    <n v="15"/>
    <n v="2"/>
    <n v="4"/>
    <n v="7"/>
    <n v="2"/>
    <n v="3"/>
    <n v="7"/>
    <n v="0"/>
    <x v="0"/>
  </r>
  <r>
    <n v="38"/>
    <x v="0"/>
    <s v="Travel_Rarely"/>
    <n v="1180"/>
    <x v="1"/>
    <n v="29"/>
    <x v="1"/>
    <x v="2"/>
    <n v="1"/>
    <n v="282"/>
    <n v="2"/>
    <x v="1"/>
    <n v="70"/>
    <n v="3"/>
    <n v="2"/>
    <x v="4"/>
    <n v="1"/>
    <x v="1"/>
    <n v="6673"/>
    <n v="11354"/>
    <n v="7"/>
    <s v="Y"/>
    <s v="Yes"/>
    <n v="19"/>
    <n v="3"/>
    <n v="2"/>
    <n v="80"/>
    <n v="0"/>
    <n v="17"/>
    <n v="2"/>
    <n v="3"/>
    <n v="1"/>
    <n v="0"/>
    <n v="0"/>
    <n v="0"/>
    <n v="1"/>
    <x v="0"/>
  </r>
  <r>
    <n v="29"/>
    <x v="0"/>
    <s v="Travel_Rarely"/>
    <n v="121"/>
    <x v="0"/>
    <n v="27"/>
    <x v="3"/>
    <x v="3"/>
    <n v="1"/>
    <n v="283"/>
    <n v="2"/>
    <x v="0"/>
    <n v="35"/>
    <n v="3"/>
    <n v="3"/>
    <x v="0"/>
    <n v="4"/>
    <x v="1"/>
    <n v="7639"/>
    <n v="24525"/>
    <n v="1"/>
    <s v="Y"/>
    <s v="No"/>
    <n v="22"/>
    <n v="4"/>
    <n v="4"/>
    <n v="80"/>
    <n v="3"/>
    <n v="10"/>
    <n v="3"/>
    <n v="2"/>
    <n v="10"/>
    <n v="4"/>
    <n v="1"/>
    <n v="9"/>
    <n v="1"/>
    <x v="2"/>
  </r>
  <r>
    <n v="22"/>
    <x v="1"/>
    <s v="Travel_Rarely"/>
    <n v="1136"/>
    <x v="1"/>
    <n v="5"/>
    <x v="3"/>
    <x v="0"/>
    <n v="1"/>
    <n v="284"/>
    <n v="4"/>
    <x v="1"/>
    <n v="60"/>
    <n v="4"/>
    <n v="1"/>
    <x v="1"/>
    <n v="2"/>
    <x v="2"/>
    <n v="2328"/>
    <n v="12392"/>
    <n v="1"/>
    <s v="Y"/>
    <s v="Yes"/>
    <n v="16"/>
    <n v="3"/>
    <n v="1"/>
    <n v="80"/>
    <n v="1"/>
    <n v="4"/>
    <n v="2"/>
    <n v="2"/>
    <n v="4"/>
    <n v="2"/>
    <n v="2"/>
    <n v="2"/>
    <n v="0"/>
    <x v="4"/>
  </r>
  <r>
    <n v="36"/>
    <x v="1"/>
    <s v="Travel_Frequently"/>
    <n v="635"/>
    <x v="1"/>
    <n v="18"/>
    <x v="1"/>
    <x v="2"/>
    <n v="1"/>
    <n v="286"/>
    <n v="2"/>
    <x v="0"/>
    <n v="73"/>
    <n v="3"/>
    <n v="1"/>
    <x v="2"/>
    <n v="4"/>
    <x v="0"/>
    <n v="2153"/>
    <n v="7703"/>
    <n v="1"/>
    <s v="Y"/>
    <s v="No"/>
    <n v="13"/>
    <n v="3"/>
    <n v="1"/>
    <n v="80"/>
    <n v="0"/>
    <n v="8"/>
    <n v="2"/>
    <n v="3"/>
    <n v="8"/>
    <n v="1"/>
    <n v="1"/>
    <n v="7"/>
    <n v="0"/>
    <x v="0"/>
  </r>
  <r>
    <n v="40"/>
    <x v="1"/>
    <s v="Non-Travel"/>
    <n v="1151"/>
    <x v="1"/>
    <n v="9"/>
    <x v="4"/>
    <x v="0"/>
    <n v="1"/>
    <n v="287"/>
    <n v="4"/>
    <x v="1"/>
    <n v="63"/>
    <n v="2"/>
    <n v="2"/>
    <x v="4"/>
    <n v="4"/>
    <x v="1"/>
    <n v="4876"/>
    <n v="14242"/>
    <n v="9"/>
    <s v="Y"/>
    <s v="No"/>
    <n v="14"/>
    <n v="3"/>
    <n v="4"/>
    <n v="80"/>
    <n v="1"/>
    <n v="5"/>
    <n v="5"/>
    <n v="1"/>
    <n v="3"/>
    <n v="2"/>
    <n v="0"/>
    <n v="2"/>
    <n v="0"/>
    <x v="0"/>
  </r>
  <r>
    <n v="46"/>
    <x v="1"/>
    <s v="Travel_Rarely"/>
    <n v="644"/>
    <x v="1"/>
    <n v="1"/>
    <x v="2"/>
    <x v="2"/>
    <n v="1"/>
    <n v="288"/>
    <n v="4"/>
    <x v="1"/>
    <n v="97"/>
    <n v="3"/>
    <n v="3"/>
    <x v="4"/>
    <n v="1"/>
    <x v="2"/>
    <n v="9396"/>
    <n v="12368"/>
    <n v="7"/>
    <s v="Y"/>
    <s v="No"/>
    <n v="16"/>
    <n v="3"/>
    <n v="3"/>
    <n v="80"/>
    <n v="1"/>
    <n v="17"/>
    <n v="3"/>
    <n v="3"/>
    <n v="4"/>
    <n v="2"/>
    <n v="0"/>
    <n v="3"/>
    <n v="0"/>
    <x v="1"/>
  </r>
  <r>
    <n v="32"/>
    <x v="0"/>
    <s v="Travel_Rarely"/>
    <n v="1045"/>
    <x v="0"/>
    <n v="4"/>
    <x v="2"/>
    <x v="2"/>
    <n v="1"/>
    <n v="291"/>
    <n v="4"/>
    <x v="1"/>
    <n v="32"/>
    <n v="1"/>
    <n v="3"/>
    <x v="0"/>
    <n v="4"/>
    <x v="1"/>
    <n v="10400"/>
    <n v="25812"/>
    <n v="1"/>
    <s v="Y"/>
    <s v="No"/>
    <n v="11"/>
    <n v="3"/>
    <n v="3"/>
    <n v="80"/>
    <n v="0"/>
    <n v="14"/>
    <n v="2"/>
    <n v="2"/>
    <n v="14"/>
    <n v="8"/>
    <n v="9"/>
    <n v="8"/>
    <n v="1"/>
    <x v="2"/>
  </r>
  <r>
    <n v="30"/>
    <x v="1"/>
    <s v="Non-Travel"/>
    <n v="829"/>
    <x v="1"/>
    <n v="1"/>
    <x v="1"/>
    <x v="0"/>
    <n v="1"/>
    <n v="292"/>
    <n v="3"/>
    <x v="1"/>
    <n v="88"/>
    <n v="2"/>
    <n v="3"/>
    <x v="3"/>
    <n v="3"/>
    <x v="0"/>
    <n v="8474"/>
    <n v="20925"/>
    <n v="1"/>
    <s v="Y"/>
    <s v="No"/>
    <n v="22"/>
    <n v="4"/>
    <n v="3"/>
    <n v="80"/>
    <n v="0"/>
    <n v="12"/>
    <n v="2"/>
    <n v="3"/>
    <n v="11"/>
    <n v="8"/>
    <n v="5"/>
    <n v="8"/>
    <n v="0"/>
    <x v="2"/>
  </r>
  <r>
    <n v="27"/>
    <x v="1"/>
    <s v="Travel_Frequently"/>
    <n v="1242"/>
    <x v="0"/>
    <n v="20"/>
    <x v="3"/>
    <x v="0"/>
    <n v="1"/>
    <n v="293"/>
    <n v="4"/>
    <x v="0"/>
    <n v="90"/>
    <n v="3"/>
    <n v="2"/>
    <x v="0"/>
    <n v="3"/>
    <x v="0"/>
    <n v="9981"/>
    <n v="12916"/>
    <n v="1"/>
    <s v="Y"/>
    <s v="No"/>
    <n v="14"/>
    <n v="3"/>
    <n v="4"/>
    <n v="80"/>
    <n v="0"/>
    <n v="7"/>
    <n v="2"/>
    <n v="3"/>
    <n v="7"/>
    <n v="7"/>
    <n v="0"/>
    <n v="7"/>
    <n v="0"/>
    <x v="2"/>
  </r>
  <r>
    <n v="51"/>
    <x v="1"/>
    <s v="Travel_Rarely"/>
    <n v="1469"/>
    <x v="1"/>
    <n v="8"/>
    <x v="2"/>
    <x v="0"/>
    <n v="1"/>
    <n v="296"/>
    <n v="2"/>
    <x v="1"/>
    <n v="81"/>
    <n v="2"/>
    <n v="3"/>
    <x v="7"/>
    <n v="2"/>
    <x v="1"/>
    <n v="12490"/>
    <n v="15736"/>
    <n v="5"/>
    <s v="Y"/>
    <s v="No"/>
    <n v="16"/>
    <n v="3"/>
    <n v="4"/>
    <n v="80"/>
    <n v="2"/>
    <n v="16"/>
    <n v="5"/>
    <n v="1"/>
    <n v="10"/>
    <n v="9"/>
    <n v="4"/>
    <n v="7"/>
    <n v="0"/>
    <x v="1"/>
  </r>
  <r>
    <n v="30"/>
    <x v="0"/>
    <s v="Travel_Rarely"/>
    <n v="1005"/>
    <x v="1"/>
    <n v="3"/>
    <x v="3"/>
    <x v="4"/>
    <n v="1"/>
    <n v="297"/>
    <n v="4"/>
    <x v="0"/>
    <n v="88"/>
    <n v="3"/>
    <n v="1"/>
    <x v="1"/>
    <n v="1"/>
    <x v="0"/>
    <n v="2657"/>
    <n v="8556"/>
    <n v="5"/>
    <s v="Y"/>
    <s v="Yes"/>
    <n v="11"/>
    <n v="3"/>
    <n v="3"/>
    <n v="80"/>
    <n v="0"/>
    <n v="8"/>
    <n v="5"/>
    <n v="3"/>
    <n v="5"/>
    <n v="2"/>
    <n v="0"/>
    <n v="4"/>
    <n v="1"/>
    <x v="2"/>
  </r>
  <r>
    <n v="41"/>
    <x v="1"/>
    <s v="Travel_Rarely"/>
    <n v="896"/>
    <x v="0"/>
    <n v="6"/>
    <x v="3"/>
    <x v="0"/>
    <n v="1"/>
    <n v="298"/>
    <n v="4"/>
    <x v="0"/>
    <n v="75"/>
    <n v="3"/>
    <n v="3"/>
    <x v="5"/>
    <n v="4"/>
    <x v="0"/>
    <n v="13591"/>
    <n v="14674"/>
    <n v="3"/>
    <s v="Y"/>
    <s v="Yes"/>
    <n v="18"/>
    <n v="3"/>
    <n v="3"/>
    <n v="80"/>
    <n v="0"/>
    <n v="16"/>
    <n v="3"/>
    <n v="3"/>
    <n v="1"/>
    <n v="0"/>
    <n v="0"/>
    <n v="0"/>
    <n v="0"/>
    <x v="0"/>
  </r>
  <r>
    <n v="30"/>
    <x v="0"/>
    <s v="Travel_Frequently"/>
    <n v="334"/>
    <x v="0"/>
    <n v="26"/>
    <x v="2"/>
    <x v="3"/>
    <n v="1"/>
    <n v="299"/>
    <n v="3"/>
    <x v="0"/>
    <n v="52"/>
    <n v="2"/>
    <n v="2"/>
    <x v="0"/>
    <n v="1"/>
    <x v="0"/>
    <n v="6696"/>
    <n v="22967"/>
    <n v="5"/>
    <s v="Y"/>
    <s v="No"/>
    <n v="15"/>
    <n v="3"/>
    <n v="3"/>
    <n v="80"/>
    <n v="0"/>
    <n v="9"/>
    <n v="5"/>
    <n v="2"/>
    <n v="6"/>
    <n v="3"/>
    <n v="0"/>
    <n v="1"/>
    <n v="1"/>
    <x v="2"/>
  </r>
  <r>
    <n v="29"/>
    <x v="0"/>
    <s v="Travel_Rarely"/>
    <n v="992"/>
    <x v="1"/>
    <n v="1"/>
    <x v="3"/>
    <x v="4"/>
    <n v="1"/>
    <n v="300"/>
    <n v="3"/>
    <x v="1"/>
    <n v="85"/>
    <n v="3"/>
    <n v="1"/>
    <x v="1"/>
    <n v="3"/>
    <x v="0"/>
    <n v="2058"/>
    <n v="19757"/>
    <n v="0"/>
    <s v="Y"/>
    <s v="No"/>
    <n v="14"/>
    <n v="3"/>
    <n v="4"/>
    <n v="80"/>
    <n v="0"/>
    <n v="7"/>
    <n v="1"/>
    <n v="2"/>
    <n v="6"/>
    <n v="2"/>
    <n v="1"/>
    <n v="5"/>
    <n v="1"/>
    <x v="2"/>
  </r>
  <r>
    <n v="45"/>
    <x v="1"/>
    <s v="Non-Travel"/>
    <n v="1052"/>
    <x v="0"/>
    <n v="6"/>
    <x v="3"/>
    <x v="2"/>
    <n v="1"/>
    <n v="302"/>
    <n v="4"/>
    <x v="0"/>
    <n v="57"/>
    <n v="2"/>
    <n v="3"/>
    <x v="0"/>
    <n v="4"/>
    <x v="0"/>
    <n v="8865"/>
    <n v="16840"/>
    <n v="6"/>
    <s v="Y"/>
    <s v="No"/>
    <n v="12"/>
    <n v="3"/>
    <n v="4"/>
    <n v="80"/>
    <n v="0"/>
    <n v="23"/>
    <n v="2"/>
    <n v="3"/>
    <n v="19"/>
    <n v="7"/>
    <n v="12"/>
    <n v="8"/>
    <n v="0"/>
    <x v="1"/>
  </r>
  <r>
    <n v="54"/>
    <x v="1"/>
    <s v="Travel_Rarely"/>
    <n v="1147"/>
    <x v="0"/>
    <n v="3"/>
    <x v="3"/>
    <x v="3"/>
    <n v="1"/>
    <n v="303"/>
    <n v="4"/>
    <x v="0"/>
    <n v="52"/>
    <n v="3"/>
    <n v="2"/>
    <x v="0"/>
    <n v="1"/>
    <x v="1"/>
    <n v="5940"/>
    <n v="17011"/>
    <n v="2"/>
    <s v="Y"/>
    <s v="No"/>
    <n v="14"/>
    <n v="3"/>
    <n v="4"/>
    <n v="80"/>
    <n v="1"/>
    <n v="16"/>
    <n v="4"/>
    <n v="3"/>
    <n v="6"/>
    <n v="2"/>
    <n v="0"/>
    <n v="5"/>
    <n v="0"/>
    <x v="1"/>
  </r>
  <r>
    <n v="36"/>
    <x v="1"/>
    <s v="Travel_Rarely"/>
    <n v="1396"/>
    <x v="1"/>
    <n v="5"/>
    <x v="0"/>
    <x v="0"/>
    <n v="1"/>
    <n v="304"/>
    <n v="4"/>
    <x v="1"/>
    <n v="62"/>
    <n v="3"/>
    <n v="2"/>
    <x v="2"/>
    <n v="2"/>
    <x v="0"/>
    <n v="5914"/>
    <n v="9945"/>
    <n v="8"/>
    <s v="Y"/>
    <s v="No"/>
    <n v="16"/>
    <n v="3"/>
    <n v="4"/>
    <n v="80"/>
    <n v="0"/>
    <n v="16"/>
    <n v="3"/>
    <n v="4"/>
    <n v="13"/>
    <n v="11"/>
    <n v="3"/>
    <n v="7"/>
    <n v="0"/>
    <x v="0"/>
  </r>
  <r>
    <n v="33"/>
    <x v="1"/>
    <s v="Travel_Rarely"/>
    <n v="147"/>
    <x v="1"/>
    <n v="4"/>
    <x v="2"/>
    <x v="2"/>
    <n v="1"/>
    <n v="305"/>
    <n v="3"/>
    <x v="0"/>
    <n v="47"/>
    <n v="2"/>
    <n v="1"/>
    <x v="1"/>
    <n v="2"/>
    <x v="1"/>
    <n v="2622"/>
    <n v="13248"/>
    <n v="6"/>
    <s v="Y"/>
    <s v="No"/>
    <n v="21"/>
    <n v="4"/>
    <n v="4"/>
    <n v="80"/>
    <n v="0"/>
    <n v="7"/>
    <n v="3"/>
    <n v="3"/>
    <n v="3"/>
    <n v="2"/>
    <n v="1"/>
    <n v="1"/>
    <n v="0"/>
    <x v="2"/>
  </r>
  <r>
    <n v="37"/>
    <x v="1"/>
    <s v="Travel_Frequently"/>
    <n v="663"/>
    <x v="1"/>
    <n v="11"/>
    <x v="3"/>
    <x v="1"/>
    <n v="1"/>
    <n v="306"/>
    <n v="2"/>
    <x v="1"/>
    <n v="47"/>
    <n v="3"/>
    <n v="3"/>
    <x v="7"/>
    <n v="4"/>
    <x v="2"/>
    <n v="12185"/>
    <n v="10056"/>
    <n v="1"/>
    <s v="Y"/>
    <s v="Yes"/>
    <n v="14"/>
    <n v="3"/>
    <n v="3"/>
    <n v="80"/>
    <n v="3"/>
    <n v="10"/>
    <n v="1"/>
    <n v="3"/>
    <n v="10"/>
    <n v="8"/>
    <n v="0"/>
    <n v="7"/>
    <n v="0"/>
    <x v="0"/>
  </r>
  <r>
    <n v="38"/>
    <x v="1"/>
    <s v="Travel_Rarely"/>
    <n v="119"/>
    <x v="0"/>
    <n v="3"/>
    <x v="3"/>
    <x v="0"/>
    <n v="1"/>
    <n v="307"/>
    <n v="1"/>
    <x v="1"/>
    <n v="76"/>
    <n v="3"/>
    <n v="3"/>
    <x v="0"/>
    <n v="3"/>
    <x v="2"/>
    <n v="10609"/>
    <n v="9647"/>
    <n v="0"/>
    <s v="Y"/>
    <s v="No"/>
    <n v="12"/>
    <n v="3"/>
    <n v="3"/>
    <n v="80"/>
    <n v="2"/>
    <n v="17"/>
    <n v="6"/>
    <n v="2"/>
    <n v="16"/>
    <n v="10"/>
    <n v="5"/>
    <n v="13"/>
    <n v="0"/>
    <x v="0"/>
  </r>
  <r>
    <n v="31"/>
    <x v="1"/>
    <s v="Non-Travel"/>
    <n v="979"/>
    <x v="1"/>
    <n v="1"/>
    <x v="2"/>
    <x v="2"/>
    <n v="1"/>
    <n v="308"/>
    <n v="3"/>
    <x v="1"/>
    <n v="90"/>
    <n v="1"/>
    <n v="2"/>
    <x v="3"/>
    <n v="3"/>
    <x v="1"/>
    <n v="4345"/>
    <n v="4381"/>
    <n v="0"/>
    <s v="Y"/>
    <s v="No"/>
    <n v="12"/>
    <n v="3"/>
    <n v="4"/>
    <n v="80"/>
    <n v="1"/>
    <n v="6"/>
    <n v="2"/>
    <n v="3"/>
    <n v="5"/>
    <n v="4"/>
    <n v="1"/>
    <n v="4"/>
    <n v="0"/>
    <x v="2"/>
  </r>
  <r>
    <n v="59"/>
    <x v="1"/>
    <s v="Travel_Rarely"/>
    <n v="142"/>
    <x v="1"/>
    <n v="3"/>
    <x v="3"/>
    <x v="0"/>
    <n v="1"/>
    <n v="309"/>
    <n v="3"/>
    <x v="1"/>
    <n v="70"/>
    <n v="2"/>
    <n v="1"/>
    <x v="1"/>
    <n v="4"/>
    <x v="1"/>
    <n v="2177"/>
    <n v="8456"/>
    <n v="3"/>
    <s v="Y"/>
    <s v="No"/>
    <n v="17"/>
    <n v="3"/>
    <n v="1"/>
    <n v="80"/>
    <n v="1"/>
    <n v="7"/>
    <n v="6"/>
    <n v="3"/>
    <n v="1"/>
    <n v="0"/>
    <n v="0"/>
    <n v="0"/>
    <n v="0"/>
    <x v="3"/>
  </r>
  <r>
    <n v="37"/>
    <x v="1"/>
    <s v="Travel_Frequently"/>
    <n v="319"/>
    <x v="0"/>
    <n v="4"/>
    <x v="2"/>
    <x v="3"/>
    <n v="1"/>
    <n v="311"/>
    <n v="1"/>
    <x v="1"/>
    <n v="41"/>
    <n v="3"/>
    <n v="1"/>
    <x v="6"/>
    <n v="4"/>
    <x v="2"/>
    <n v="2793"/>
    <n v="2539"/>
    <n v="4"/>
    <s v="Y"/>
    <s v="No"/>
    <n v="17"/>
    <n v="3"/>
    <n v="3"/>
    <n v="80"/>
    <n v="1"/>
    <n v="13"/>
    <n v="2"/>
    <n v="3"/>
    <n v="9"/>
    <n v="8"/>
    <n v="5"/>
    <n v="8"/>
    <n v="0"/>
    <x v="0"/>
  </r>
  <r>
    <n v="29"/>
    <x v="1"/>
    <s v="Travel_Frequently"/>
    <n v="1413"/>
    <x v="0"/>
    <n v="1"/>
    <x v="1"/>
    <x v="2"/>
    <n v="1"/>
    <n v="312"/>
    <n v="2"/>
    <x v="0"/>
    <n v="42"/>
    <n v="3"/>
    <n v="3"/>
    <x v="0"/>
    <n v="4"/>
    <x v="1"/>
    <n v="7918"/>
    <n v="6599"/>
    <n v="1"/>
    <s v="Y"/>
    <s v="No"/>
    <n v="14"/>
    <n v="3"/>
    <n v="4"/>
    <n v="80"/>
    <n v="1"/>
    <n v="11"/>
    <n v="5"/>
    <n v="3"/>
    <n v="11"/>
    <n v="10"/>
    <n v="4"/>
    <n v="1"/>
    <n v="0"/>
    <x v="2"/>
  </r>
  <r>
    <n v="35"/>
    <x v="1"/>
    <s v="Travel_Frequently"/>
    <n v="944"/>
    <x v="0"/>
    <n v="1"/>
    <x v="3"/>
    <x v="3"/>
    <n v="1"/>
    <n v="314"/>
    <n v="3"/>
    <x v="0"/>
    <n v="92"/>
    <n v="3"/>
    <n v="3"/>
    <x v="0"/>
    <n v="3"/>
    <x v="0"/>
    <n v="8789"/>
    <n v="9096"/>
    <n v="1"/>
    <s v="Y"/>
    <s v="No"/>
    <n v="14"/>
    <n v="3"/>
    <n v="1"/>
    <n v="80"/>
    <n v="0"/>
    <n v="10"/>
    <n v="3"/>
    <n v="4"/>
    <n v="10"/>
    <n v="7"/>
    <n v="0"/>
    <n v="8"/>
    <n v="0"/>
    <x v="0"/>
  </r>
  <r>
    <n v="29"/>
    <x v="0"/>
    <s v="Travel_Rarely"/>
    <n v="896"/>
    <x v="1"/>
    <n v="18"/>
    <x v="1"/>
    <x v="2"/>
    <n v="1"/>
    <n v="315"/>
    <n v="3"/>
    <x v="1"/>
    <n v="86"/>
    <n v="2"/>
    <n v="1"/>
    <x v="1"/>
    <n v="4"/>
    <x v="0"/>
    <n v="2389"/>
    <n v="14961"/>
    <n v="1"/>
    <s v="Y"/>
    <s v="Yes"/>
    <n v="13"/>
    <n v="3"/>
    <n v="3"/>
    <n v="80"/>
    <n v="0"/>
    <n v="4"/>
    <n v="3"/>
    <n v="2"/>
    <n v="4"/>
    <n v="3"/>
    <n v="0"/>
    <n v="1"/>
    <n v="1"/>
    <x v="2"/>
  </r>
  <r>
    <n v="52"/>
    <x v="1"/>
    <s v="Travel_Rarely"/>
    <n v="1323"/>
    <x v="1"/>
    <n v="2"/>
    <x v="3"/>
    <x v="0"/>
    <n v="1"/>
    <n v="316"/>
    <n v="3"/>
    <x v="0"/>
    <n v="89"/>
    <n v="2"/>
    <n v="1"/>
    <x v="2"/>
    <n v="4"/>
    <x v="0"/>
    <n v="3212"/>
    <n v="3300"/>
    <n v="7"/>
    <s v="Y"/>
    <s v="No"/>
    <n v="15"/>
    <n v="3"/>
    <n v="2"/>
    <n v="80"/>
    <n v="0"/>
    <n v="6"/>
    <n v="3"/>
    <n v="2"/>
    <n v="2"/>
    <n v="2"/>
    <n v="2"/>
    <n v="2"/>
    <n v="0"/>
    <x v="1"/>
  </r>
  <r>
    <n v="42"/>
    <x v="1"/>
    <s v="Travel_Rarely"/>
    <n v="532"/>
    <x v="1"/>
    <n v="4"/>
    <x v="0"/>
    <x v="4"/>
    <n v="1"/>
    <n v="319"/>
    <n v="3"/>
    <x v="1"/>
    <n v="58"/>
    <n v="3"/>
    <n v="5"/>
    <x v="5"/>
    <n v="4"/>
    <x v="1"/>
    <n v="19232"/>
    <n v="4933"/>
    <n v="1"/>
    <s v="Y"/>
    <s v="No"/>
    <n v="11"/>
    <n v="3"/>
    <n v="4"/>
    <n v="80"/>
    <n v="0"/>
    <n v="22"/>
    <n v="3"/>
    <n v="3"/>
    <n v="22"/>
    <n v="17"/>
    <n v="11"/>
    <n v="15"/>
    <n v="0"/>
    <x v="0"/>
  </r>
  <r>
    <n v="59"/>
    <x v="1"/>
    <s v="Travel_Rarely"/>
    <n v="818"/>
    <x v="2"/>
    <n v="6"/>
    <x v="0"/>
    <x v="2"/>
    <n v="1"/>
    <n v="321"/>
    <n v="2"/>
    <x v="1"/>
    <n v="52"/>
    <n v="3"/>
    <n v="1"/>
    <x v="8"/>
    <n v="3"/>
    <x v="1"/>
    <n v="2267"/>
    <n v="25657"/>
    <n v="8"/>
    <s v="Y"/>
    <s v="No"/>
    <n v="17"/>
    <n v="3"/>
    <n v="4"/>
    <n v="80"/>
    <n v="0"/>
    <n v="7"/>
    <n v="2"/>
    <n v="2"/>
    <n v="2"/>
    <n v="2"/>
    <n v="2"/>
    <n v="2"/>
    <n v="0"/>
    <x v="3"/>
  </r>
  <r>
    <n v="50"/>
    <x v="1"/>
    <s v="Travel_Rarely"/>
    <n v="854"/>
    <x v="0"/>
    <n v="1"/>
    <x v="2"/>
    <x v="2"/>
    <n v="1"/>
    <n v="323"/>
    <n v="4"/>
    <x v="0"/>
    <n v="68"/>
    <n v="3"/>
    <n v="5"/>
    <x v="5"/>
    <n v="4"/>
    <x v="2"/>
    <n v="19517"/>
    <n v="24118"/>
    <n v="3"/>
    <s v="Y"/>
    <s v="No"/>
    <n v="11"/>
    <n v="3"/>
    <n v="3"/>
    <n v="80"/>
    <n v="1"/>
    <n v="32"/>
    <n v="3"/>
    <n v="2"/>
    <n v="7"/>
    <n v="0"/>
    <n v="0"/>
    <n v="6"/>
    <n v="0"/>
    <x v="1"/>
  </r>
  <r>
    <n v="33"/>
    <x v="0"/>
    <s v="Travel_Rarely"/>
    <n v="813"/>
    <x v="1"/>
    <n v="14"/>
    <x v="3"/>
    <x v="2"/>
    <n v="1"/>
    <n v="325"/>
    <n v="3"/>
    <x v="1"/>
    <n v="58"/>
    <n v="3"/>
    <n v="1"/>
    <x v="2"/>
    <n v="4"/>
    <x v="1"/>
    <n v="2436"/>
    <n v="22149"/>
    <n v="5"/>
    <s v="Y"/>
    <s v="Yes"/>
    <n v="13"/>
    <n v="3"/>
    <n v="3"/>
    <n v="80"/>
    <n v="1"/>
    <n v="8"/>
    <n v="2"/>
    <n v="1"/>
    <n v="5"/>
    <n v="4"/>
    <n v="0"/>
    <n v="4"/>
    <n v="1"/>
    <x v="2"/>
  </r>
  <r>
    <n v="43"/>
    <x v="1"/>
    <s v="Travel_Rarely"/>
    <n v="1034"/>
    <x v="0"/>
    <n v="16"/>
    <x v="3"/>
    <x v="3"/>
    <n v="1"/>
    <n v="327"/>
    <n v="4"/>
    <x v="0"/>
    <n v="80"/>
    <n v="3"/>
    <n v="4"/>
    <x v="5"/>
    <n v="4"/>
    <x v="1"/>
    <n v="16064"/>
    <n v="7744"/>
    <n v="5"/>
    <s v="Y"/>
    <s v="Yes"/>
    <n v="22"/>
    <n v="4"/>
    <n v="3"/>
    <n v="80"/>
    <n v="1"/>
    <n v="22"/>
    <n v="3"/>
    <n v="3"/>
    <n v="17"/>
    <n v="13"/>
    <n v="1"/>
    <n v="9"/>
    <n v="0"/>
    <x v="0"/>
  </r>
  <r>
    <n v="33"/>
    <x v="0"/>
    <s v="Travel_Rarely"/>
    <n v="465"/>
    <x v="1"/>
    <n v="2"/>
    <x v="0"/>
    <x v="0"/>
    <n v="1"/>
    <n v="328"/>
    <n v="1"/>
    <x v="0"/>
    <n v="39"/>
    <n v="3"/>
    <n v="1"/>
    <x v="2"/>
    <n v="1"/>
    <x v="1"/>
    <n v="2707"/>
    <n v="21509"/>
    <n v="7"/>
    <s v="Y"/>
    <s v="No"/>
    <n v="20"/>
    <n v="4"/>
    <n v="1"/>
    <n v="80"/>
    <n v="0"/>
    <n v="13"/>
    <n v="3"/>
    <n v="4"/>
    <n v="9"/>
    <n v="7"/>
    <n v="1"/>
    <n v="7"/>
    <n v="1"/>
    <x v="2"/>
  </r>
  <r>
    <n v="52"/>
    <x v="1"/>
    <s v="Non-Travel"/>
    <n v="771"/>
    <x v="0"/>
    <n v="2"/>
    <x v="2"/>
    <x v="0"/>
    <n v="1"/>
    <n v="329"/>
    <n v="1"/>
    <x v="1"/>
    <n v="79"/>
    <n v="2"/>
    <n v="5"/>
    <x v="5"/>
    <n v="3"/>
    <x v="0"/>
    <n v="19068"/>
    <n v="21030"/>
    <n v="1"/>
    <s v="Y"/>
    <s v="Yes"/>
    <n v="18"/>
    <n v="3"/>
    <n v="4"/>
    <n v="80"/>
    <n v="0"/>
    <n v="33"/>
    <n v="2"/>
    <n v="4"/>
    <n v="33"/>
    <n v="7"/>
    <n v="15"/>
    <n v="12"/>
    <n v="0"/>
    <x v="1"/>
  </r>
  <r>
    <n v="32"/>
    <x v="1"/>
    <s v="Travel_Rarely"/>
    <n v="1401"/>
    <x v="0"/>
    <n v="4"/>
    <x v="0"/>
    <x v="0"/>
    <n v="1"/>
    <n v="330"/>
    <n v="3"/>
    <x v="0"/>
    <n v="56"/>
    <n v="3"/>
    <n v="1"/>
    <x v="6"/>
    <n v="2"/>
    <x v="1"/>
    <n v="3931"/>
    <n v="20990"/>
    <n v="2"/>
    <s v="Y"/>
    <s v="No"/>
    <n v="11"/>
    <n v="3"/>
    <n v="1"/>
    <n v="80"/>
    <n v="1"/>
    <n v="6"/>
    <n v="5"/>
    <n v="3"/>
    <n v="4"/>
    <n v="3"/>
    <n v="1"/>
    <n v="2"/>
    <n v="0"/>
    <x v="2"/>
  </r>
  <r>
    <n v="32"/>
    <x v="0"/>
    <s v="Travel_Rarely"/>
    <n v="515"/>
    <x v="1"/>
    <n v="1"/>
    <x v="3"/>
    <x v="0"/>
    <n v="1"/>
    <n v="331"/>
    <n v="4"/>
    <x v="1"/>
    <n v="62"/>
    <n v="2"/>
    <n v="1"/>
    <x v="2"/>
    <n v="3"/>
    <x v="0"/>
    <n v="3730"/>
    <n v="9571"/>
    <n v="0"/>
    <s v="Y"/>
    <s v="Yes"/>
    <n v="14"/>
    <n v="3"/>
    <n v="4"/>
    <n v="80"/>
    <n v="0"/>
    <n v="4"/>
    <n v="2"/>
    <n v="1"/>
    <n v="3"/>
    <n v="2"/>
    <n v="1"/>
    <n v="2"/>
    <n v="1"/>
    <x v="2"/>
  </r>
  <r>
    <n v="39"/>
    <x v="1"/>
    <s v="Travel_Rarely"/>
    <n v="1431"/>
    <x v="1"/>
    <n v="1"/>
    <x v="2"/>
    <x v="2"/>
    <n v="1"/>
    <n v="332"/>
    <n v="3"/>
    <x v="0"/>
    <n v="96"/>
    <n v="3"/>
    <n v="1"/>
    <x v="2"/>
    <n v="3"/>
    <x v="2"/>
    <n v="2232"/>
    <n v="15417"/>
    <n v="7"/>
    <s v="Y"/>
    <s v="No"/>
    <n v="14"/>
    <n v="3"/>
    <n v="3"/>
    <n v="80"/>
    <n v="3"/>
    <n v="7"/>
    <n v="1"/>
    <n v="3"/>
    <n v="3"/>
    <n v="2"/>
    <n v="1"/>
    <n v="2"/>
    <n v="0"/>
    <x v="0"/>
  </r>
  <r>
    <n v="32"/>
    <x v="1"/>
    <s v="Non-Travel"/>
    <n v="976"/>
    <x v="0"/>
    <n v="26"/>
    <x v="2"/>
    <x v="3"/>
    <n v="1"/>
    <n v="333"/>
    <n v="3"/>
    <x v="1"/>
    <n v="100"/>
    <n v="3"/>
    <n v="2"/>
    <x v="0"/>
    <n v="4"/>
    <x v="1"/>
    <n v="4465"/>
    <n v="12069"/>
    <n v="0"/>
    <s v="Y"/>
    <s v="No"/>
    <n v="18"/>
    <n v="3"/>
    <n v="1"/>
    <n v="80"/>
    <n v="0"/>
    <n v="4"/>
    <n v="2"/>
    <n v="3"/>
    <n v="3"/>
    <n v="2"/>
    <n v="2"/>
    <n v="2"/>
    <n v="0"/>
    <x v="2"/>
  </r>
  <r>
    <n v="41"/>
    <x v="1"/>
    <s v="Travel_Rarely"/>
    <n v="1411"/>
    <x v="1"/>
    <n v="19"/>
    <x v="0"/>
    <x v="0"/>
    <n v="1"/>
    <n v="334"/>
    <n v="3"/>
    <x v="1"/>
    <n v="36"/>
    <n v="3"/>
    <n v="2"/>
    <x v="1"/>
    <n v="1"/>
    <x v="2"/>
    <n v="3072"/>
    <n v="19877"/>
    <n v="2"/>
    <s v="Y"/>
    <s v="No"/>
    <n v="16"/>
    <n v="3"/>
    <n v="1"/>
    <n v="80"/>
    <n v="2"/>
    <n v="17"/>
    <n v="2"/>
    <n v="2"/>
    <n v="1"/>
    <n v="0"/>
    <n v="0"/>
    <n v="0"/>
    <n v="0"/>
    <x v="0"/>
  </r>
  <r>
    <n v="40"/>
    <x v="1"/>
    <s v="Travel_Rarely"/>
    <n v="1300"/>
    <x v="1"/>
    <n v="24"/>
    <x v="0"/>
    <x v="4"/>
    <n v="1"/>
    <n v="335"/>
    <n v="1"/>
    <x v="1"/>
    <n v="62"/>
    <n v="3"/>
    <n v="2"/>
    <x v="1"/>
    <n v="4"/>
    <x v="2"/>
    <n v="3319"/>
    <n v="24447"/>
    <n v="1"/>
    <s v="Y"/>
    <s v="No"/>
    <n v="17"/>
    <n v="3"/>
    <n v="1"/>
    <n v="80"/>
    <n v="2"/>
    <n v="9"/>
    <n v="3"/>
    <n v="3"/>
    <n v="9"/>
    <n v="8"/>
    <n v="4"/>
    <n v="7"/>
    <n v="0"/>
    <x v="0"/>
  </r>
  <r>
    <n v="45"/>
    <x v="1"/>
    <s v="Travel_Rarely"/>
    <n v="252"/>
    <x v="1"/>
    <n v="1"/>
    <x v="3"/>
    <x v="1"/>
    <n v="1"/>
    <n v="336"/>
    <n v="3"/>
    <x v="1"/>
    <n v="70"/>
    <n v="4"/>
    <n v="5"/>
    <x v="5"/>
    <n v="4"/>
    <x v="1"/>
    <n v="19202"/>
    <n v="15970"/>
    <n v="0"/>
    <s v="Y"/>
    <s v="No"/>
    <n v="11"/>
    <n v="3"/>
    <n v="3"/>
    <n v="80"/>
    <n v="1"/>
    <n v="25"/>
    <n v="2"/>
    <n v="3"/>
    <n v="24"/>
    <n v="0"/>
    <n v="1"/>
    <n v="7"/>
    <n v="0"/>
    <x v="1"/>
  </r>
  <r>
    <n v="31"/>
    <x v="1"/>
    <s v="Travel_Frequently"/>
    <n v="1327"/>
    <x v="1"/>
    <n v="3"/>
    <x v="2"/>
    <x v="2"/>
    <n v="1"/>
    <n v="337"/>
    <n v="2"/>
    <x v="1"/>
    <n v="73"/>
    <n v="3"/>
    <n v="3"/>
    <x v="7"/>
    <n v="3"/>
    <x v="2"/>
    <n v="13675"/>
    <n v="13523"/>
    <n v="9"/>
    <s v="Y"/>
    <s v="No"/>
    <n v="12"/>
    <n v="3"/>
    <n v="1"/>
    <n v="80"/>
    <n v="1"/>
    <n v="9"/>
    <n v="3"/>
    <n v="3"/>
    <n v="2"/>
    <n v="2"/>
    <n v="2"/>
    <n v="2"/>
    <n v="0"/>
    <x v="2"/>
  </r>
  <r>
    <n v="33"/>
    <x v="1"/>
    <s v="Travel_Rarely"/>
    <n v="832"/>
    <x v="1"/>
    <n v="5"/>
    <x v="2"/>
    <x v="0"/>
    <n v="1"/>
    <n v="338"/>
    <n v="3"/>
    <x v="0"/>
    <n v="63"/>
    <n v="2"/>
    <n v="1"/>
    <x v="1"/>
    <n v="4"/>
    <x v="1"/>
    <n v="2911"/>
    <n v="14776"/>
    <n v="1"/>
    <s v="Y"/>
    <s v="No"/>
    <n v="13"/>
    <n v="3"/>
    <n v="3"/>
    <n v="80"/>
    <n v="1"/>
    <n v="2"/>
    <n v="2"/>
    <n v="2"/>
    <n v="2"/>
    <n v="2"/>
    <n v="0"/>
    <n v="2"/>
    <n v="0"/>
    <x v="2"/>
  </r>
  <r>
    <n v="34"/>
    <x v="1"/>
    <s v="Travel_Rarely"/>
    <n v="470"/>
    <x v="1"/>
    <n v="2"/>
    <x v="2"/>
    <x v="0"/>
    <n v="1"/>
    <n v="339"/>
    <n v="4"/>
    <x v="1"/>
    <n v="84"/>
    <n v="2"/>
    <n v="2"/>
    <x v="3"/>
    <n v="1"/>
    <x v="1"/>
    <n v="5957"/>
    <n v="23687"/>
    <n v="6"/>
    <s v="Y"/>
    <s v="No"/>
    <n v="13"/>
    <n v="3"/>
    <n v="2"/>
    <n v="80"/>
    <n v="1"/>
    <n v="13"/>
    <n v="3"/>
    <n v="3"/>
    <n v="11"/>
    <n v="9"/>
    <n v="5"/>
    <n v="9"/>
    <n v="0"/>
    <x v="2"/>
  </r>
  <r>
    <n v="37"/>
    <x v="1"/>
    <s v="Travel_Rarely"/>
    <n v="1017"/>
    <x v="1"/>
    <n v="1"/>
    <x v="0"/>
    <x v="2"/>
    <n v="1"/>
    <n v="340"/>
    <n v="3"/>
    <x v="0"/>
    <n v="83"/>
    <n v="2"/>
    <n v="1"/>
    <x v="1"/>
    <n v="1"/>
    <x v="1"/>
    <n v="3920"/>
    <n v="18697"/>
    <n v="2"/>
    <s v="Y"/>
    <s v="No"/>
    <n v="14"/>
    <n v="3"/>
    <n v="1"/>
    <n v="80"/>
    <n v="1"/>
    <n v="17"/>
    <n v="2"/>
    <n v="2"/>
    <n v="3"/>
    <n v="1"/>
    <n v="0"/>
    <n v="2"/>
    <n v="0"/>
    <x v="0"/>
  </r>
  <r>
    <n v="45"/>
    <x v="1"/>
    <s v="Travel_Frequently"/>
    <n v="1199"/>
    <x v="1"/>
    <n v="7"/>
    <x v="2"/>
    <x v="0"/>
    <n v="1"/>
    <n v="341"/>
    <n v="1"/>
    <x v="1"/>
    <n v="77"/>
    <n v="4"/>
    <n v="2"/>
    <x v="3"/>
    <n v="3"/>
    <x v="1"/>
    <n v="6434"/>
    <n v="5118"/>
    <n v="4"/>
    <s v="Y"/>
    <s v="No"/>
    <n v="17"/>
    <n v="3"/>
    <n v="4"/>
    <n v="80"/>
    <n v="1"/>
    <n v="9"/>
    <n v="1"/>
    <n v="3"/>
    <n v="3"/>
    <n v="2"/>
    <n v="0"/>
    <n v="2"/>
    <n v="0"/>
    <x v="1"/>
  </r>
  <r>
    <n v="37"/>
    <x v="0"/>
    <s v="Travel_Frequently"/>
    <n v="504"/>
    <x v="1"/>
    <n v="10"/>
    <x v="3"/>
    <x v="2"/>
    <n v="1"/>
    <n v="342"/>
    <n v="1"/>
    <x v="1"/>
    <n v="61"/>
    <n v="3"/>
    <n v="3"/>
    <x v="3"/>
    <n v="3"/>
    <x v="2"/>
    <n v="10048"/>
    <n v="22573"/>
    <n v="6"/>
    <s v="Y"/>
    <s v="No"/>
    <n v="11"/>
    <n v="3"/>
    <n v="2"/>
    <n v="80"/>
    <n v="2"/>
    <n v="17"/>
    <n v="5"/>
    <n v="3"/>
    <n v="1"/>
    <n v="0"/>
    <n v="0"/>
    <n v="0"/>
    <n v="1"/>
    <x v="0"/>
  </r>
  <r>
    <n v="39"/>
    <x v="1"/>
    <s v="Travel_Frequently"/>
    <n v="505"/>
    <x v="1"/>
    <n v="2"/>
    <x v="2"/>
    <x v="4"/>
    <n v="1"/>
    <n v="343"/>
    <n v="3"/>
    <x v="0"/>
    <n v="64"/>
    <n v="3"/>
    <n v="3"/>
    <x v="4"/>
    <n v="3"/>
    <x v="0"/>
    <n v="10938"/>
    <n v="6420"/>
    <n v="0"/>
    <s v="Y"/>
    <s v="No"/>
    <n v="25"/>
    <n v="4"/>
    <n v="4"/>
    <n v="80"/>
    <n v="0"/>
    <n v="20"/>
    <n v="1"/>
    <n v="3"/>
    <n v="19"/>
    <n v="6"/>
    <n v="11"/>
    <n v="8"/>
    <n v="0"/>
    <x v="0"/>
  </r>
  <r>
    <n v="29"/>
    <x v="1"/>
    <s v="Travel_Rarely"/>
    <n v="665"/>
    <x v="1"/>
    <n v="15"/>
    <x v="3"/>
    <x v="0"/>
    <n v="1"/>
    <n v="346"/>
    <n v="3"/>
    <x v="1"/>
    <n v="60"/>
    <n v="3"/>
    <n v="1"/>
    <x v="1"/>
    <n v="4"/>
    <x v="0"/>
    <n v="2340"/>
    <n v="22673"/>
    <n v="1"/>
    <s v="Y"/>
    <s v="No"/>
    <n v="19"/>
    <n v="3"/>
    <n v="1"/>
    <n v="80"/>
    <n v="0"/>
    <n v="6"/>
    <n v="1"/>
    <n v="3"/>
    <n v="6"/>
    <n v="5"/>
    <n v="1"/>
    <n v="5"/>
    <n v="0"/>
    <x v="2"/>
  </r>
  <r>
    <n v="42"/>
    <x v="1"/>
    <s v="Travel_Rarely"/>
    <n v="916"/>
    <x v="1"/>
    <n v="17"/>
    <x v="0"/>
    <x v="0"/>
    <n v="1"/>
    <n v="347"/>
    <n v="4"/>
    <x v="0"/>
    <n v="82"/>
    <n v="4"/>
    <n v="2"/>
    <x v="1"/>
    <n v="1"/>
    <x v="0"/>
    <n v="6545"/>
    <n v="23016"/>
    <n v="3"/>
    <s v="Y"/>
    <s v="Yes"/>
    <n v="13"/>
    <n v="3"/>
    <n v="3"/>
    <n v="80"/>
    <n v="0"/>
    <n v="10"/>
    <n v="1"/>
    <n v="3"/>
    <n v="3"/>
    <n v="2"/>
    <n v="0"/>
    <n v="2"/>
    <n v="0"/>
    <x v="0"/>
  </r>
  <r>
    <n v="29"/>
    <x v="1"/>
    <s v="Travel_Rarely"/>
    <n v="1247"/>
    <x v="0"/>
    <n v="20"/>
    <x v="0"/>
    <x v="3"/>
    <n v="1"/>
    <n v="349"/>
    <n v="4"/>
    <x v="1"/>
    <n v="45"/>
    <n v="3"/>
    <n v="2"/>
    <x v="0"/>
    <n v="4"/>
    <x v="2"/>
    <n v="6931"/>
    <n v="10732"/>
    <n v="2"/>
    <s v="Y"/>
    <s v="No"/>
    <n v="14"/>
    <n v="3"/>
    <n v="4"/>
    <n v="80"/>
    <n v="1"/>
    <n v="10"/>
    <n v="2"/>
    <n v="3"/>
    <n v="3"/>
    <n v="2"/>
    <n v="0"/>
    <n v="2"/>
    <n v="0"/>
    <x v="2"/>
  </r>
  <r>
    <n v="25"/>
    <x v="1"/>
    <s v="Travel_Rarely"/>
    <n v="685"/>
    <x v="1"/>
    <n v="1"/>
    <x v="3"/>
    <x v="0"/>
    <n v="1"/>
    <n v="350"/>
    <n v="1"/>
    <x v="0"/>
    <n v="62"/>
    <n v="3"/>
    <n v="2"/>
    <x v="3"/>
    <n v="3"/>
    <x v="1"/>
    <n v="4898"/>
    <n v="7505"/>
    <n v="0"/>
    <s v="Y"/>
    <s v="No"/>
    <n v="12"/>
    <n v="3"/>
    <n v="4"/>
    <n v="80"/>
    <n v="2"/>
    <n v="5"/>
    <n v="3"/>
    <n v="3"/>
    <n v="4"/>
    <n v="2"/>
    <n v="1"/>
    <n v="2"/>
    <n v="0"/>
    <x v="2"/>
  </r>
  <r>
    <n v="42"/>
    <x v="1"/>
    <s v="Travel_Rarely"/>
    <n v="269"/>
    <x v="1"/>
    <n v="2"/>
    <x v="3"/>
    <x v="2"/>
    <n v="1"/>
    <n v="351"/>
    <n v="4"/>
    <x v="0"/>
    <n v="56"/>
    <n v="2"/>
    <n v="1"/>
    <x v="2"/>
    <n v="1"/>
    <x v="2"/>
    <n v="2593"/>
    <n v="8007"/>
    <n v="0"/>
    <s v="Y"/>
    <s v="Yes"/>
    <n v="11"/>
    <n v="3"/>
    <n v="3"/>
    <n v="80"/>
    <n v="1"/>
    <n v="10"/>
    <n v="4"/>
    <n v="3"/>
    <n v="9"/>
    <n v="6"/>
    <n v="7"/>
    <n v="8"/>
    <n v="0"/>
    <x v="0"/>
  </r>
  <r>
    <n v="40"/>
    <x v="1"/>
    <s v="Travel_Rarely"/>
    <n v="1416"/>
    <x v="1"/>
    <n v="2"/>
    <x v="0"/>
    <x v="2"/>
    <n v="1"/>
    <n v="352"/>
    <n v="1"/>
    <x v="1"/>
    <n v="49"/>
    <n v="3"/>
    <n v="5"/>
    <x v="7"/>
    <n v="3"/>
    <x v="2"/>
    <n v="19436"/>
    <n v="5949"/>
    <n v="0"/>
    <s v="Y"/>
    <s v="No"/>
    <n v="19"/>
    <n v="3"/>
    <n v="4"/>
    <n v="80"/>
    <n v="1"/>
    <n v="22"/>
    <n v="5"/>
    <n v="3"/>
    <n v="21"/>
    <n v="7"/>
    <n v="3"/>
    <n v="9"/>
    <n v="0"/>
    <x v="0"/>
  </r>
  <r>
    <n v="51"/>
    <x v="1"/>
    <s v="Travel_Rarely"/>
    <n v="833"/>
    <x v="1"/>
    <n v="1"/>
    <x v="3"/>
    <x v="0"/>
    <n v="1"/>
    <n v="353"/>
    <n v="3"/>
    <x v="1"/>
    <n v="96"/>
    <n v="3"/>
    <n v="1"/>
    <x v="1"/>
    <n v="4"/>
    <x v="1"/>
    <n v="2723"/>
    <n v="23231"/>
    <n v="1"/>
    <s v="Y"/>
    <s v="No"/>
    <n v="11"/>
    <n v="3"/>
    <n v="2"/>
    <n v="80"/>
    <n v="0"/>
    <n v="1"/>
    <n v="0"/>
    <n v="2"/>
    <n v="1"/>
    <n v="0"/>
    <n v="0"/>
    <n v="0"/>
    <n v="0"/>
    <x v="1"/>
  </r>
  <r>
    <n v="31"/>
    <x v="0"/>
    <s v="Travel_Frequently"/>
    <n v="307"/>
    <x v="1"/>
    <n v="29"/>
    <x v="0"/>
    <x v="2"/>
    <n v="1"/>
    <n v="355"/>
    <n v="3"/>
    <x v="1"/>
    <n v="71"/>
    <n v="2"/>
    <n v="1"/>
    <x v="2"/>
    <n v="2"/>
    <x v="0"/>
    <n v="3479"/>
    <n v="11652"/>
    <n v="0"/>
    <s v="Y"/>
    <s v="No"/>
    <n v="11"/>
    <n v="3"/>
    <n v="2"/>
    <n v="80"/>
    <n v="0"/>
    <n v="6"/>
    <n v="2"/>
    <n v="4"/>
    <n v="5"/>
    <n v="4"/>
    <n v="1"/>
    <n v="4"/>
    <n v="1"/>
    <x v="2"/>
  </r>
  <r>
    <n v="32"/>
    <x v="1"/>
    <s v="Travel_Frequently"/>
    <n v="1311"/>
    <x v="1"/>
    <n v="7"/>
    <x v="3"/>
    <x v="0"/>
    <n v="1"/>
    <n v="359"/>
    <n v="2"/>
    <x v="1"/>
    <n v="100"/>
    <n v="4"/>
    <n v="1"/>
    <x v="2"/>
    <n v="2"/>
    <x v="1"/>
    <n v="2794"/>
    <n v="26062"/>
    <n v="1"/>
    <s v="Y"/>
    <s v="No"/>
    <n v="20"/>
    <n v="4"/>
    <n v="3"/>
    <n v="80"/>
    <n v="0"/>
    <n v="5"/>
    <n v="3"/>
    <n v="1"/>
    <n v="5"/>
    <n v="1"/>
    <n v="0"/>
    <n v="3"/>
    <n v="0"/>
    <x v="2"/>
  </r>
  <r>
    <n v="38"/>
    <x v="1"/>
    <s v="Non-Travel"/>
    <n v="1327"/>
    <x v="0"/>
    <n v="2"/>
    <x v="0"/>
    <x v="0"/>
    <n v="1"/>
    <n v="361"/>
    <n v="4"/>
    <x v="1"/>
    <n v="39"/>
    <n v="2"/>
    <n v="2"/>
    <x v="0"/>
    <n v="4"/>
    <x v="1"/>
    <n v="5249"/>
    <n v="19682"/>
    <n v="3"/>
    <s v="Y"/>
    <s v="No"/>
    <n v="18"/>
    <n v="3"/>
    <n v="4"/>
    <n v="80"/>
    <n v="1"/>
    <n v="13"/>
    <n v="0"/>
    <n v="3"/>
    <n v="8"/>
    <n v="7"/>
    <n v="7"/>
    <n v="5"/>
    <n v="0"/>
    <x v="0"/>
  </r>
  <r>
    <n v="32"/>
    <x v="1"/>
    <s v="Travel_Rarely"/>
    <n v="128"/>
    <x v="1"/>
    <n v="2"/>
    <x v="1"/>
    <x v="4"/>
    <n v="1"/>
    <n v="362"/>
    <n v="4"/>
    <x v="1"/>
    <n v="84"/>
    <n v="2"/>
    <n v="2"/>
    <x v="2"/>
    <n v="1"/>
    <x v="0"/>
    <n v="2176"/>
    <n v="19737"/>
    <n v="4"/>
    <s v="Y"/>
    <s v="No"/>
    <n v="13"/>
    <n v="3"/>
    <n v="4"/>
    <n v="80"/>
    <n v="0"/>
    <n v="9"/>
    <n v="5"/>
    <n v="3"/>
    <n v="6"/>
    <n v="2"/>
    <n v="0"/>
    <n v="4"/>
    <n v="0"/>
    <x v="2"/>
  </r>
  <r>
    <n v="46"/>
    <x v="1"/>
    <s v="Travel_Rarely"/>
    <n v="488"/>
    <x v="0"/>
    <n v="2"/>
    <x v="3"/>
    <x v="4"/>
    <n v="1"/>
    <n v="363"/>
    <n v="3"/>
    <x v="0"/>
    <n v="75"/>
    <n v="1"/>
    <n v="4"/>
    <x v="5"/>
    <n v="2"/>
    <x v="1"/>
    <n v="16872"/>
    <n v="14977"/>
    <n v="3"/>
    <s v="Y"/>
    <s v="Yes"/>
    <n v="12"/>
    <n v="3"/>
    <n v="2"/>
    <n v="80"/>
    <n v="1"/>
    <n v="28"/>
    <n v="2"/>
    <n v="2"/>
    <n v="7"/>
    <n v="7"/>
    <n v="7"/>
    <n v="7"/>
    <n v="0"/>
    <x v="1"/>
  </r>
  <r>
    <n v="28"/>
    <x v="0"/>
    <s v="Travel_Rarely"/>
    <n v="529"/>
    <x v="1"/>
    <n v="2"/>
    <x v="2"/>
    <x v="0"/>
    <n v="1"/>
    <n v="364"/>
    <n v="1"/>
    <x v="1"/>
    <n v="79"/>
    <n v="3"/>
    <n v="1"/>
    <x v="2"/>
    <n v="3"/>
    <x v="0"/>
    <n v="3485"/>
    <n v="14935"/>
    <n v="2"/>
    <s v="Y"/>
    <s v="No"/>
    <n v="11"/>
    <n v="3"/>
    <n v="3"/>
    <n v="80"/>
    <n v="0"/>
    <n v="5"/>
    <n v="5"/>
    <n v="1"/>
    <n v="0"/>
    <n v="0"/>
    <n v="0"/>
    <n v="0"/>
    <n v="1"/>
    <x v="2"/>
  </r>
  <r>
    <n v="29"/>
    <x v="1"/>
    <s v="Travel_Rarely"/>
    <n v="1210"/>
    <x v="0"/>
    <n v="2"/>
    <x v="3"/>
    <x v="2"/>
    <n v="1"/>
    <n v="366"/>
    <n v="1"/>
    <x v="1"/>
    <n v="78"/>
    <n v="2"/>
    <n v="2"/>
    <x v="0"/>
    <n v="2"/>
    <x v="1"/>
    <n v="6644"/>
    <n v="3687"/>
    <n v="2"/>
    <s v="Y"/>
    <s v="No"/>
    <n v="19"/>
    <n v="3"/>
    <n v="2"/>
    <n v="80"/>
    <n v="2"/>
    <n v="10"/>
    <n v="2"/>
    <n v="3"/>
    <n v="0"/>
    <n v="0"/>
    <n v="0"/>
    <n v="0"/>
    <n v="0"/>
    <x v="2"/>
  </r>
  <r>
    <n v="31"/>
    <x v="1"/>
    <s v="Travel_Rarely"/>
    <n v="1463"/>
    <x v="1"/>
    <n v="23"/>
    <x v="3"/>
    <x v="2"/>
    <n v="1"/>
    <n v="367"/>
    <n v="2"/>
    <x v="1"/>
    <n v="64"/>
    <n v="2"/>
    <n v="2"/>
    <x v="4"/>
    <n v="4"/>
    <x v="1"/>
    <n v="5582"/>
    <n v="14408"/>
    <n v="0"/>
    <s v="Y"/>
    <s v="No"/>
    <n v="21"/>
    <n v="4"/>
    <n v="2"/>
    <n v="80"/>
    <n v="1"/>
    <n v="10"/>
    <n v="2"/>
    <n v="3"/>
    <n v="9"/>
    <n v="0"/>
    <n v="7"/>
    <n v="8"/>
    <n v="0"/>
    <x v="2"/>
  </r>
  <r>
    <n v="25"/>
    <x v="1"/>
    <s v="Non-Travel"/>
    <n v="675"/>
    <x v="1"/>
    <n v="5"/>
    <x v="0"/>
    <x v="0"/>
    <n v="1"/>
    <n v="369"/>
    <n v="2"/>
    <x v="1"/>
    <n v="85"/>
    <n v="4"/>
    <n v="2"/>
    <x v="4"/>
    <n v="1"/>
    <x v="2"/>
    <n v="4000"/>
    <n v="18384"/>
    <n v="1"/>
    <s v="Y"/>
    <s v="No"/>
    <n v="12"/>
    <n v="3"/>
    <n v="4"/>
    <n v="80"/>
    <n v="2"/>
    <n v="6"/>
    <n v="2"/>
    <n v="3"/>
    <n v="6"/>
    <n v="3"/>
    <n v="1"/>
    <n v="5"/>
    <n v="0"/>
    <x v="2"/>
  </r>
  <r>
    <n v="45"/>
    <x v="1"/>
    <s v="Travel_Rarely"/>
    <n v="1385"/>
    <x v="1"/>
    <n v="20"/>
    <x v="0"/>
    <x v="2"/>
    <n v="1"/>
    <n v="372"/>
    <n v="3"/>
    <x v="1"/>
    <n v="79"/>
    <n v="3"/>
    <n v="4"/>
    <x v="4"/>
    <n v="4"/>
    <x v="1"/>
    <n v="13496"/>
    <n v="7501"/>
    <n v="0"/>
    <s v="Y"/>
    <s v="Yes"/>
    <n v="14"/>
    <n v="3"/>
    <n v="2"/>
    <n v="80"/>
    <n v="0"/>
    <n v="21"/>
    <n v="2"/>
    <n v="3"/>
    <n v="20"/>
    <n v="7"/>
    <n v="4"/>
    <n v="10"/>
    <n v="0"/>
    <x v="1"/>
  </r>
  <r>
    <n v="36"/>
    <x v="1"/>
    <s v="Travel_Rarely"/>
    <n v="1403"/>
    <x v="1"/>
    <n v="6"/>
    <x v="3"/>
    <x v="0"/>
    <n v="1"/>
    <n v="373"/>
    <n v="4"/>
    <x v="1"/>
    <n v="47"/>
    <n v="3"/>
    <n v="1"/>
    <x v="2"/>
    <n v="4"/>
    <x v="1"/>
    <n v="3210"/>
    <n v="20251"/>
    <n v="0"/>
    <s v="Y"/>
    <s v="No"/>
    <n v="11"/>
    <n v="3"/>
    <n v="3"/>
    <n v="80"/>
    <n v="1"/>
    <n v="16"/>
    <n v="4"/>
    <n v="3"/>
    <n v="15"/>
    <n v="13"/>
    <n v="10"/>
    <n v="11"/>
    <n v="0"/>
    <x v="0"/>
  </r>
  <r>
    <n v="55"/>
    <x v="1"/>
    <s v="Travel_Rarely"/>
    <n v="452"/>
    <x v="1"/>
    <n v="1"/>
    <x v="3"/>
    <x v="2"/>
    <n v="1"/>
    <n v="374"/>
    <n v="4"/>
    <x v="1"/>
    <n v="81"/>
    <n v="3"/>
    <n v="5"/>
    <x v="5"/>
    <n v="1"/>
    <x v="0"/>
    <n v="19045"/>
    <n v="18938"/>
    <n v="0"/>
    <s v="Y"/>
    <s v="Yes"/>
    <n v="14"/>
    <n v="3"/>
    <n v="3"/>
    <n v="80"/>
    <n v="0"/>
    <n v="37"/>
    <n v="2"/>
    <n v="3"/>
    <n v="36"/>
    <n v="10"/>
    <n v="4"/>
    <n v="13"/>
    <n v="0"/>
    <x v="3"/>
  </r>
  <r>
    <n v="47"/>
    <x v="0"/>
    <s v="Non-Travel"/>
    <n v="666"/>
    <x v="1"/>
    <n v="29"/>
    <x v="2"/>
    <x v="0"/>
    <n v="1"/>
    <n v="376"/>
    <n v="1"/>
    <x v="1"/>
    <n v="88"/>
    <n v="3"/>
    <n v="3"/>
    <x v="5"/>
    <n v="2"/>
    <x v="1"/>
    <n v="11849"/>
    <n v="10268"/>
    <n v="1"/>
    <s v="Y"/>
    <s v="Yes"/>
    <n v="12"/>
    <n v="3"/>
    <n v="4"/>
    <n v="80"/>
    <n v="1"/>
    <n v="10"/>
    <n v="2"/>
    <n v="2"/>
    <n v="10"/>
    <n v="7"/>
    <n v="9"/>
    <n v="9"/>
    <n v="1"/>
    <x v="1"/>
  </r>
  <r>
    <n v="28"/>
    <x v="1"/>
    <s v="Travel_Rarely"/>
    <n v="1158"/>
    <x v="1"/>
    <n v="9"/>
    <x v="3"/>
    <x v="2"/>
    <n v="1"/>
    <n v="377"/>
    <n v="4"/>
    <x v="1"/>
    <n v="94"/>
    <n v="3"/>
    <n v="1"/>
    <x v="1"/>
    <n v="4"/>
    <x v="1"/>
    <n v="2070"/>
    <n v="2613"/>
    <n v="1"/>
    <s v="Y"/>
    <s v="No"/>
    <n v="23"/>
    <n v="4"/>
    <n v="4"/>
    <n v="80"/>
    <n v="1"/>
    <n v="5"/>
    <n v="3"/>
    <n v="2"/>
    <n v="5"/>
    <n v="2"/>
    <n v="0"/>
    <n v="4"/>
    <n v="0"/>
    <x v="2"/>
  </r>
  <r>
    <n v="37"/>
    <x v="1"/>
    <s v="Travel_Rarely"/>
    <n v="228"/>
    <x v="0"/>
    <n v="6"/>
    <x v="2"/>
    <x v="2"/>
    <n v="1"/>
    <n v="378"/>
    <n v="3"/>
    <x v="1"/>
    <n v="98"/>
    <n v="3"/>
    <n v="2"/>
    <x v="0"/>
    <n v="4"/>
    <x v="1"/>
    <n v="6502"/>
    <n v="22825"/>
    <n v="4"/>
    <s v="Y"/>
    <s v="No"/>
    <n v="14"/>
    <n v="3"/>
    <n v="2"/>
    <n v="80"/>
    <n v="1"/>
    <n v="7"/>
    <n v="5"/>
    <n v="4"/>
    <n v="5"/>
    <n v="4"/>
    <n v="0"/>
    <n v="1"/>
    <n v="0"/>
    <x v="0"/>
  </r>
  <r>
    <n v="21"/>
    <x v="1"/>
    <s v="Travel_Rarely"/>
    <n v="996"/>
    <x v="1"/>
    <n v="3"/>
    <x v="0"/>
    <x v="2"/>
    <n v="1"/>
    <n v="379"/>
    <n v="4"/>
    <x v="1"/>
    <n v="100"/>
    <n v="2"/>
    <n v="1"/>
    <x v="1"/>
    <n v="3"/>
    <x v="0"/>
    <n v="3230"/>
    <n v="10531"/>
    <n v="1"/>
    <s v="Y"/>
    <s v="No"/>
    <n v="17"/>
    <n v="3"/>
    <n v="1"/>
    <n v="80"/>
    <n v="0"/>
    <n v="3"/>
    <n v="4"/>
    <n v="4"/>
    <n v="3"/>
    <n v="2"/>
    <n v="1"/>
    <n v="0"/>
    <n v="0"/>
    <x v="4"/>
  </r>
  <r>
    <n v="37"/>
    <x v="1"/>
    <s v="Non-Travel"/>
    <n v="728"/>
    <x v="1"/>
    <n v="1"/>
    <x v="2"/>
    <x v="2"/>
    <n v="1"/>
    <n v="380"/>
    <n v="1"/>
    <x v="0"/>
    <n v="80"/>
    <n v="3"/>
    <n v="3"/>
    <x v="7"/>
    <n v="4"/>
    <x v="2"/>
    <n v="13603"/>
    <n v="11677"/>
    <n v="2"/>
    <s v="Y"/>
    <s v="Yes"/>
    <n v="18"/>
    <n v="3"/>
    <n v="1"/>
    <n v="80"/>
    <n v="2"/>
    <n v="15"/>
    <n v="2"/>
    <n v="3"/>
    <n v="5"/>
    <n v="2"/>
    <n v="0"/>
    <n v="2"/>
    <n v="0"/>
    <x v="0"/>
  </r>
  <r>
    <n v="35"/>
    <x v="1"/>
    <s v="Travel_Rarely"/>
    <n v="1315"/>
    <x v="1"/>
    <n v="22"/>
    <x v="3"/>
    <x v="0"/>
    <n v="1"/>
    <n v="381"/>
    <n v="2"/>
    <x v="0"/>
    <n v="71"/>
    <n v="4"/>
    <n v="3"/>
    <x v="5"/>
    <n v="2"/>
    <x v="2"/>
    <n v="11996"/>
    <n v="19100"/>
    <n v="7"/>
    <s v="Y"/>
    <s v="No"/>
    <n v="18"/>
    <n v="3"/>
    <n v="2"/>
    <n v="80"/>
    <n v="1"/>
    <n v="10"/>
    <n v="6"/>
    <n v="2"/>
    <n v="7"/>
    <n v="7"/>
    <n v="6"/>
    <n v="2"/>
    <n v="0"/>
    <x v="0"/>
  </r>
  <r>
    <n v="38"/>
    <x v="1"/>
    <s v="Travel_Rarely"/>
    <n v="322"/>
    <x v="0"/>
    <n v="7"/>
    <x v="0"/>
    <x v="2"/>
    <n v="1"/>
    <n v="382"/>
    <n v="1"/>
    <x v="0"/>
    <n v="44"/>
    <n v="4"/>
    <n v="2"/>
    <x v="0"/>
    <n v="1"/>
    <x v="2"/>
    <n v="5605"/>
    <n v="19191"/>
    <n v="1"/>
    <s v="Y"/>
    <s v="Yes"/>
    <n v="24"/>
    <n v="4"/>
    <n v="3"/>
    <n v="80"/>
    <n v="1"/>
    <n v="8"/>
    <n v="3"/>
    <n v="3"/>
    <n v="8"/>
    <n v="0"/>
    <n v="7"/>
    <n v="7"/>
    <n v="0"/>
    <x v="0"/>
  </r>
  <r>
    <n v="26"/>
    <x v="1"/>
    <s v="Travel_Frequently"/>
    <n v="1479"/>
    <x v="1"/>
    <n v="1"/>
    <x v="3"/>
    <x v="0"/>
    <n v="1"/>
    <n v="384"/>
    <n v="3"/>
    <x v="0"/>
    <n v="84"/>
    <n v="3"/>
    <n v="2"/>
    <x v="3"/>
    <n v="2"/>
    <x v="2"/>
    <n v="6397"/>
    <n v="26767"/>
    <n v="1"/>
    <s v="Y"/>
    <s v="No"/>
    <n v="20"/>
    <n v="4"/>
    <n v="1"/>
    <n v="80"/>
    <n v="1"/>
    <n v="6"/>
    <n v="6"/>
    <n v="1"/>
    <n v="6"/>
    <n v="5"/>
    <n v="1"/>
    <n v="4"/>
    <n v="0"/>
    <x v="2"/>
  </r>
  <r>
    <n v="50"/>
    <x v="1"/>
    <s v="Travel_Rarely"/>
    <n v="797"/>
    <x v="1"/>
    <n v="4"/>
    <x v="1"/>
    <x v="0"/>
    <n v="1"/>
    <n v="385"/>
    <n v="1"/>
    <x v="1"/>
    <n v="96"/>
    <n v="3"/>
    <n v="5"/>
    <x v="7"/>
    <n v="2"/>
    <x v="2"/>
    <n v="19144"/>
    <n v="15815"/>
    <n v="3"/>
    <s v="Y"/>
    <s v="No"/>
    <n v="14"/>
    <n v="3"/>
    <n v="1"/>
    <n v="80"/>
    <n v="2"/>
    <n v="28"/>
    <n v="4"/>
    <n v="2"/>
    <n v="10"/>
    <n v="4"/>
    <n v="1"/>
    <n v="6"/>
    <n v="0"/>
    <x v="1"/>
  </r>
  <r>
    <n v="53"/>
    <x v="1"/>
    <s v="Travel_Rarely"/>
    <n v="1070"/>
    <x v="1"/>
    <n v="3"/>
    <x v="2"/>
    <x v="2"/>
    <n v="1"/>
    <n v="386"/>
    <n v="3"/>
    <x v="1"/>
    <n v="45"/>
    <n v="3"/>
    <n v="4"/>
    <x v="7"/>
    <n v="3"/>
    <x v="1"/>
    <n v="17584"/>
    <n v="21016"/>
    <n v="3"/>
    <s v="Y"/>
    <s v="Yes"/>
    <n v="16"/>
    <n v="3"/>
    <n v="4"/>
    <n v="80"/>
    <n v="3"/>
    <n v="21"/>
    <n v="5"/>
    <n v="2"/>
    <n v="5"/>
    <n v="3"/>
    <n v="1"/>
    <n v="3"/>
    <n v="0"/>
    <x v="1"/>
  </r>
  <r>
    <n v="42"/>
    <x v="1"/>
    <s v="Travel_Rarely"/>
    <n v="635"/>
    <x v="0"/>
    <n v="1"/>
    <x v="1"/>
    <x v="0"/>
    <n v="1"/>
    <n v="387"/>
    <n v="2"/>
    <x v="1"/>
    <n v="99"/>
    <n v="3"/>
    <n v="2"/>
    <x v="0"/>
    <n v="3"/>
    <x v="1"/>
    <n v="4907"/>
    <n v="24532"/>
    <n v="1"/>
    <s v="Y"/>
    <s v="No"/>
    <n v="25"/>
    <n v="4"/>
    <n v="3"/>
    <n v="80"/>
    <n v="0"/>
    <n v="20"/>
    <n v="3"/>
    <n v="3"/>
    <n v="20"/>
    <n v="16"/>
    <n v="11"/>
    <n v="6"/>
    <n v="0"/>
    <x v="0"/>
  </r>
  <r>
    <n v="29"/>
    <x v="1"/>
    <s v="Travel_Frequently"/>
    <n v="442"/>
    <x v="0"/>
    <n v="2"/>
    <x v="0"/>
    <x v="0"/>
    <n v="1"/>
    <n v="388"/>
    <n v="2"/>
    <x v="1"/>
    <n v="44"/>
    <n v="3"/>
    <n v="2"/>
    <x v="0"/>
    <n v="4"/>
    <x v="0"/>
    <n v="4554"/>
    <n v="20260"/>
    <n v="1"/>
    <s v="Y"/>
    <s v="No"/>
    <n v="18"/>
    <n v="3"/>
    <n v="1"/>
    <n v="80"/>
    <n v="0"/>
    <n v="10"/>
    <n v="3"/>
    <n v="2"/>
    <n v="10"/>
    <n v="7"/>
    <n v="0"/>
    <n v="9"/>
    <n v="0"/>
    <x v="2"/>
  </r>
  <r>
    <n v="55"/>
    <x v="1"/>
    <s v="Travel_Rarely"/>
    <n v="147"/>
    <x v="1"/>
    <n v="20"/>
    <x v="0"/>
    <x v="4"/>
    <n v="1"/>
    <n v="389"/>
    <n v="2"/>
    <x v="1"/>
    <n v="37"/>
    <n v="3"/>
    <n v="2"/>
    <x v="2"/>
    <n v="4"/>
    <x v="1"/>
    <n v="5415"/>
    <n v="15972"/>
    <n v="3"/>
    <s v="Y"/>
    <s v="Yes"/>
    <n v="19"/>
    <n v="3"/>
    <n v="4"/>
    <n v="80"/>
    <n v="1"/>
    <n v="12"/>
    <n v="4"/>
    <n v="3"/>
    <n v="10"/>
    <n v="7"/>
    <n v="0"/>
    <n v="8"/>
    <n v="0"/>
    <x v="3"/>
  </r>
  <r>
    <n v="26"/>
    <x v="1"/>
    <s v="Travel_Frequently"/>
    <n v="496"/>
    <x v="1"/>
    <n v="11"/>
    <x v="0"/>
    <x v="2"/>
    <n v="1"/>
    <n v="390"/>
    <n v="1"/>
    <x v="1"/>
    <n v="60"/>
    <n v="3"/>
    <n v="2"/>
    <x v="4"/>
    <n v="1"/>
    <x v="1"/>
    <n v="4741"/>
    <n v="22722"/>
    <n v="1"/>
    <s v="Y"/>
    <s v="Yes"/>
    <n v="13"/>
    <n v="3"/>
    <n v="3"/>
    <n v="80"/>
    <n v="1"/>
    <n v="5"/>
    <n v="3"/>
    <n v="3"/>
    <n v="5"/>
    <n v="3"/>
    <n v="3"/>
    <n v="3"/>
    <n v="0"/>
    <x v="2"/>
  </r>
  <r>
    <n v="37"/>
    <x v="1"/>
    <s v="Travel_Rarely"/>
    <n v="1372"/>
    <x v="1"/>
    <n v="1"/>
    <x v="3"/>
    <x v="0"/>
    <n v="1"/>
    <n v="391"/>
    <n v="4"/>
    <x v="0"/>
    <n v="42"/>
    <n v="3"/>
    <n v="1"/>
    <x v="1"/>
    <n v="4"/>
    <x v="0"/>
    <n v="2115"/>
    <n v="15881"/>
    <n v="1"/>
    <s v="Y"/>
    <s v="No"/>
    <n v="12"/>
    <n v="3"/>
    <n v="2"/>
    <n v="80"/>
    <n v="0"/>
    <n v="17"/>
    <n v="3"/>
    <n v="3"/>
    <n v="17"/>
    <n v="12"/>
    <n v="5"/>
    <n v="7"/>
    <n v="0"/>
    <x v="0"/>
  </r>
  <r>
    <n v="44"/>
    <x v="0"/>
    <s v="Travel_Frequently"/>
    <n v="920"/>
    <x v="1"/>
    <n v="24"/>
    <x v="3"/>
    <x v="0"/>
    <n v="1"/>
    <n v="392"/>
    <n v="4"/>
    <x v="1"/>
    <n v="43"/>
    <n v="3"/>
    <n v="1"/>
    <x v="2"/>
    <n v="3"/>
    <x v="2"/>
    <n v="3161"/>
    <n v="19920"/>
    <n v="3"/>
    <s v="Y"/>
    <s v="Yes"/>
    <n v="22"/>
    <n v="4"/>
    <n v="4"/>
    <n v="80"/>
    <n v="1"/>
    <n v="19"/>
    <n v="0"/>
    <n v="1"/>
    <n v="1"/>
    <n v="0"/>
    <n v="0"/>
    <n v="0"/>
    <n v="1"/>
    <x v="0"/>
  </r>
  <r>
    <n v="38"/>
    <x v="1"/>
    <s v="Travel_Rarely"/>
    <n v="688"/>
    <x v="1"/>
    <n v="23"/>
    <x v="2"/>
    <x v="0"/>
    <n v="1"/>
    <n v="393"/>
    <n v="4"/>
    <x v="1"/>
    <n v="82"/>
    <n v="3"/>
    <n v="2"/>
    <x v="4"/>
    <n v="4"/>
    <x v="2"/>
    <n v="5745"/>
    <n v="18899"/>
    <n v="9"/>
    <s v="Y"/>
    <s v="No"/>
    <n v="14"/>
    <n v="3"/>
    <n v="2"/>
    <n v="80"/>
    <n v="1"/>
    <n v="10"/>
    <n v="2"/>
    <n v="3"/>
    <n v="2"/>
    <n v="2"/>
    <n v="1"/>
    <n v="2"/>
    <n v="0"/>
    <x v="0"/>
  </r>
  <r>
    <n v="26"/>
    <x v="0"/>
    <s v="Travel_Rarely"/>
    <n v="1449"/>
    <x v="1"/>
    <n v="16"/>
    <x v="2"/>
    <x v="2"/>
    <n v="1"/>
    <n v="394"/>
    <n v="1"/>
    <x v="1"/>
    <n v="45"/>
    <n v="3"/>
    <n v="1"/>
    <x v="2"/>
    <n v="2"/>
    <x v="2"/>
    <n v="2373"/>
    <n v="14180"/>
    <n v="2"/>
    <s v="Y"/>
    <s v="Yes"/>
    <n v="13"/>
    <n v="3"/>
    <n v="4"/>
    <n v="80"/>
    <n v="1"/>
    <n v="5"/>
    <n v="2"/>
    <n v="3"/>
    <n v="3"/>
    <n v="2"/>
    <n v="0"/>
    <n v="2"/>
    <n v="1"/>
    <x v="2"/>
  </r>
  <r>
    <n v="28"/>
    <x v="1"/>
    <s v="Travel_Rarely"/>
    <n v="1117"/>
    <x v="1"/>
    <n v="8"/>
    <x v="0"/>
    <x v="0"/>
    <n v="1"/>
    <n v="395"/>
    <n v="4"/>
    <x v="0"/>
    <n v="66"/>
    <n v="3"/>
    <n v="1"/>
    <x v="1"/>
    <n v="4"/>
    <x v="0"/>
    <n v="3310"/>
    <n v="4488"/>
    <n v="1"/>
    <s v="Y"/>
    <s v="No"/>
    <n v="21"/>
    <n v="4"/>
    <n v="4"/>
    <n v="80"/>
    <n v="0"/>
    <n v="5"/>
    <n v="3"/>
    <n v="3"/>
    <n v="5"/>
    <n v="3"/>
    <n v="0"/>
    <n v="2"/>
    <n v="0"/>
    <x v="2"/>
  </r>
  <r>
    <n v="49"/>
    <x v="1"/>
    <s v="Travel_Frequently"/>
    <n v="636"/>
    <x v="1"/>
    <n v="10"/>
    <x v="2"/>
    <x v="0"/>
    <n v="1"/>
    <n v="396"/>
    <n v="3"/>
    <x v="0"/>
    <n v="35"/>
    <n v="3"/>
    <n v="5"/>
    <x v="7"/>
    <n v="1"/>
    <x v="0"/>
    <n v="18665"/>
    <n v="25594"/>
    <n v="9"/>
    <s v="Y"/>
    <s v="Yes"/>
    <n v="11"/>
    <n v="3"/>
    <n v="4"/>
    <n v="80"/>
    <n v="0"/>
    <n v="22"/>
    <n v="4"/>
    <n v="3"/>
    <n v="3"/>
    <n v="2"/>
    <n v="1"/>
    <n v="2"/>
    <n v="0"/>
    <x v="1"/>
  </r>
  <r>
    <n v="36"/>
    <x v="1"/>
    <s v="Travel_Rarely"/>
    <n v="506"/>
    <x v="1"/>
    <n v="3"/>
    <x v="3"/>
    <x v="4"/>
    <n v="1"/>
    <n v="397"/>
    <n v="3"/>
    <x v="1"/>
    <n v="30"/>
    <n v="3"/>
    <n v="2"/>
    <x v="1"/>
    <n v="2"/>
    <x v="0"/>
    <n v="4485"/>
    <n v="26285"/>
    <n v="4"/>
    <s v="Y"/>
    <s v="No"/>
    <n v="12"/>
    <n v="3"/>
    <n v="4"/>
    <n v="80"/>
    <n v="0"/>
    <n v="10"/>
    <n v="2"/>
    <n v="3"/>
    <n v="8"/>
    <n v="0"/>
    <n v="7"/>
    <n v="7"/>
    <n v="0"/>
    <x v="0"/>
  </r>
  <r>
    <n v="31"/>
    <x v="1"/>
    <s v="Travel_Frequently"/>
    <n v="444"/>
    <x v="0"/>
    <n v="5"/>
    <x v="3"/>
    <x v="3"/>
    <n v="1"/>
    <n v="399"/>
    <n v="4"/>
    <x v="0"/>
    <n v="84"/>
    <n v="3"/>
    <n v="1"/>
    <x v="6"/>
    <n v="2"/>
    <x v="2"/>
    <n v="2789"/>
    <n v="3909"/>
    <n v="1"/>
    <s v="Y"/>
    <s v="No"/>
    <n v="11"/>
    <n v="3"/>
    <n v="3"/>
    <n v="80"/>
    <n v="1"/>
    <n v="2"/>
    <n v="5"/>
    <n v="2"/>
    <n v="2"/>
    <n v="2"/>
    <n v="2"/>
    <n v="2"/>
    <n v="0"/>
    <x v="2"/>
  </r>
  <r>
    <n v="26"/>
    <x v="0"/>
    <s v="Travel_Rarely"/>
    <n v="950"/>
    <x v="0"/>
    <n v="4"/>
    <x v="2"/>
    <x v="3"/>
    <n v="1"/>
    <n v="401"/>
    <n v="4"/>
    <x v="1"/>
    <n v="48"/>
    <n v="2"/>
    <n v="2"/>
    <x v="0"/>
    <n v="4"/>
    <x v="0"/>
    <n v="5828"/>
    <n v="8450"/>
    <n v="1"/>
    <s v="Y"/>
    <s v="Yes"/>
    <n v="12"/>
    <n v="3"/>
    <n v="2"/>
    <n v="80"/>
    <n v="0"/>
    <n v="8"/>
    <n v="0"/>
    <n v="3"/>
    <n v="8"/>
    <n v="7"/>
    <n v="7"/>
    <n v="4"/>
    <n v="1"/>
    <x v="2"/>
  </r>
  <r>
    <n v="37"/>
    <x v="1"/>
    <s v="Travel_Frequently"/>
    <n v="889"/>
    <x v="1"/>
    <n v="9"/>
    <x v="3"/>
    <x v="2"/>
    <n v="1"/>
    <n v="403"/>
    <n v="2"/>
    <x v="1"/>
    <n v="53"/>
    <n v="3"/>
    <n v="1"/>
    <x v="1"/>
    <n v="4"/>
    <x v="1"/>
    <n v="2326"/>
    <n v="11411"/>
    <n v="1"/>
    <s v="Y"/>
    <s v="Yes"/>
    <n v="12"/>
    <n v="3"/>
    <n v="3"/>
    <n v="80"/>
    <n v="3"/>
    <n v="4"/>
    <n v="3"/>
    <n v="2"/>
    <n v="4"/>
    <n v="2"/>
    <n v="1"/>
    <n v="2"/>
    <n v="0"/>
    <x v="0"/>
  </r>
  <r>
    <n v="42"/>
    <x v="1"/>
    <s v="Travel_Frequently"/>
    <n v="555"/>
    <x v="0"/>
    <n v="26"/>
    <x v="3"/>
    <x v="3"/>
    <n v="1"/>
    <n v="404"/>
    <n v="3"/>
    <x v="0"/>
    <n v="77"/>
    <n v="3"/>
    <n v="4"/>
    <x v="0"/>
    <n v="2"/>
    <x v="1"/>
    <n v="13525"/>
    <n v="14864"/>
    <n v="5"/>
    <s v="Y"/>
    <s v="No"/>
    <n v="14"/>
    <n v="3"/>
    <n v="4"/>
    <n v="80"/>
    <n v="1"/>
    <n v="23"/>
    <n v="2"/>
    <n v="4"/>
    <n v="20"/>
    <n v="4"/>
    <n v="4"/>
    <n v="8"/>
    <n v="0"/>
    <x v="0"/>
  </r>
  <r>
    <n v="18"/>
    <x v="0"/>
    <s v="Travel_Rarely"/>
    <n v="230"/>
    <x v="1"/>
    <n v="3"/>
    <x v="3"/>
    <x v="0"/>
    <n v="1"/>
    <n v="405"/>
    <n v="3"/>
    <x v="1"/>
    <n v="54"/>
    <n v="3"/>
    <n v="1"/>
    <x v="2"/>
    <n v="3"/>
    <x v="0"/>
    <n v="1420"/>
    <n v="25233"/>
    <n v="1"/>
    <s v="Y"/>
    <s v="No"/>
    <n v="13"/>
    <n v="3"/>
    <n v="3"/>
    <n v="80"/>
    <n v="0"/>
    <n v="0"/>
    <n v="2"/>
    <n v="3"/>
    <n v="0"/>
    <n v="0"/>
    <n v="0"/>
    <n v="0"/>
    <n v="1"/>
    <x v="4"/>
  </r>
  <r>
    <n v="35"/>
    <x v="1"/>
    <s v="Travel_Rarely"/>
    <n v="1232"/>
    <x v="0"/>
    <n v="16"/>
    <x v="3"/>
    <x v="3"/>
    <n v="1"/>
    <n v="406"/>
    <n v="3"/>
    <x v="1"/>
    <n v="96"/>
    <n v="3"/>
    <n v="3"/>
    <x v="0"/>
    <n v="2"/>
    <x v="1"/>
    <n v="8020"/>
    <n v="5100"/>
    <n v="0"/>
    <s v="Y"/>
    <s v="No"/>
    <n v="15"/>
    <n v="3"/>
    <n v="3"/>
    <n v="80"/>
    <n v="2"/>
    <n v="12"/>
    <n v="3"/>
    <n v="2"/>
    <n v="11"/>
    <n v="9"/>
    <n v="6"/>
    <n v="9"/>
    <n v="0"/>
    <x v="0"/>
  </r>
  <r>
    <n v="36"/>
    <x v="1"/>
    <s v="Travel_Frequently"/>
    <n v="566"/>
    <x v="1"/>
    <n v="18"/>
    <x v="2"/>
    <x v="0"/>
    <n v="1"/>
    <n v="407"/>
    <n v="3"/>
    <x v="1"/>
    <n v="81"/>
    <n v="4"/>
    <n v="1"/>
    <x v="2"/>
    <n v="4"/>
    <x v="1"/>
    <n v="3688"/>
    <n v="7122"/>
    <n v="4"/>
    <s v="Y"/>
    <s v="No"/>
    <n v="18"/>
    <n v="3"/>
    <n v="4"/>
    <n v="80"/>
    <n v="2"/>
    <n v="4"/>
    <n v="2"/>
    <n v="3"/>
    <n v="1"/>
    <n v="0"/>
    <n v="0"/>
    <n v="0"/>
    <n v="0"/>
    <x v="0"/>
  </r>
  <r>
    <n v="51"/>
    <x v="1"/>
    <s v="Travel_Rarely"/>
    <n v="1302"/>
    <x v="1"/>
    <n v="2"/>
    <x v="3"/>
    <x v="2"/>
    <n v="1"/>
    <n v="408"/>
    <n v="4"/>
    <x v="1"/>
    <n v="84"/>
    <n v="1"/>
    <n v="2"/>
    <x v="3"/>
    <n v="2"/>
    <x v="2"/>
    <n v="5482"/>
    <n v="16321"/>
    <n v="5"/>
    <s v="Y"/>
    <s v="No"/>
    <n v="18"/>
    <n v="3"/>
    <n v="4"/>
    <n v="80"/>
    <n v="1"/>
    <n v="13"/>
    <n v="3"/>
    <n v="3"/>
    <n v="4"/>
    <n v="1"/>
    <n v="1"/>
    <n v="2"/>
    <n v="0"/>
    <x v="1"/>
  </r>
  <r>
    <n v="41"/>
    <x v="1"/>
    <s v="Travel_Rarely"/>
    <n v="334"/>
    <x v="0"/>
    <n v="2"/>
    <x v="2"/>
    <x v="0"/>
    <n v="1"/>
    <n v="410"/>
    <n v="4"/>
    <x v="1"/>
    <n v="88"/>
    <n v="3"/>
    <n v="4"/>
    <x v="5"/>
    <n v="2"/>
    <x v="0"/>
    <n v="16015"/>
    <n v="15896"/>
    <n v="1"/>
    <s v="Y"/>
    <s v="No"/>
    <n v="19"/>
    <n v="3"/>
    <n v="2"/>
    <n v="80"/>
    <n v="0"/>
    <n v="22"/>
    <n v="2"/>
    <n v="3"/>
    <n v="22"/>
    <n v="10"/>
    <n v="0"/>
    <n v="4"/>
    <n v="0"/>
    <x v="0"/>
  </r>
  <r>
    <n v="18"/>
    <x v="1"/>
    <s v="Travel_Rarely"/>
    <n v="812"/>
    <x v="0"/>
    <n v="10"/>
    <x v="3"/>
    <x v="2"/>
    <n v="1"/>
    <n v="411"/>
    <n v="4"/>
    <x v="0"/>
    <n v="69"/>
    <n v="2"/>
    <n v="1"/>
    <x v="6"/>
    <n v="3"/>
    <x v="0"/>
    <n v="1200"/>
    <n v="9724"/>
    <n v="1"/>
    <s v="Y"/>
    <s v="No"/>
    <n v="12"/>
    <n v="3"/>
    <n v="1"/>
    <n v="80"/>
    <n v="0"/>
    <n v="0"/>
    <n v="2"/>
    <n v="3"/>
    <n v="0"/>
    <n v="0"/>
    <n v="0"/>
    <n v="0"/>
    <n v="0"/>
    <x v="4"/>
  </r>
  <r>
    <n v="28"/>
    <x v="1"/>
    <s v="Travel_Rarely"/>
    <n v="1476"/>
    <x v="1"/>
    <n v="16"/>
    <x v="0"/>
    <x v="2"/>
    <n v="1"/>
    <n v="412"/>
    <n v="2"/>
    <x v="1"/>
    <n v="68"/>
    <n v="4"/>
    <n v="2"/>
    <x v="4"/>
    <n v="1"/>
    <x v="0"/>
    <n v="5661"/>
    <n v="4824"/>
    <n v="0"/>
    <s v="Y"/>
    <s v="No"/>
    <n v="19"/>
    <n v="3"/>
    <n v="3"/>
    <n v="80"/>
    <n v="0"/>
    <n v="9"/>
    <n v="2"/>
    <n v="3"/>
    <n v="8"/>
    <n v="3"/>
    <n v="0"/>
    <n v="7"/>
    <n v="0"/>
    <x v="2"/>
  </r>
  <r>
    <n v="31"/>
    <x v="1"/>
    <s v="Travel_Rarely"/>
    <n v="218"/>
    <x v="0"/>
    <n v="7"/>
    <x v="3"/>
    <x v="4"/>
    <n v="1"/>
    <n v="416"/>
    <n v="2"/>
    <x v="1"/>
    <n v="100"/>
    <n v="4"/>
    <n v="2"/>
    <x v="0"/>
    <n v="4"/>
    <x v="1"/>
    <n v="6929"/>
    <n v="12241"/>
    <n v="4"/>
    <s v="Y"/>
    <s v="No"/>
    <n v="11"/>
    <n v="3"/>
    <n v="2"/>
    <n v="80"/>
    <n v="1"/>
    <n v="10"/>
    <n v="3"/>
    <n v="2"/>
    <n v="8"/>
    <n v="7"/>
    <n v="7"/>
    <n v="7"/>
    <n v="0"/>
    <x v="2"/>
  </r>
  <r>
    <n v="39"/>
    <x v="1"/>
    <s v="Travel_Rarely"/>
    <n v="1132"/>
    <x v="1"/>
    <n v="1"/>
    <x v="3"/>
    <x v="2"/>
    <n v="1"/>
    <n v="417"/>
    <n v="3"/>
    <x v="1"/>
    <n v="48"/>
    <n v="4"/>
    <n v="3"/>
    <x v="4"/>
    <n v="4"/>
    <x v="2"/>
    <n v="9613"/>
    <n v="10942"/>
    <n v="0"/>
    <s v="Y"/>
    <s v="No"/>
    <n v="17"/>
    <n v="3"/>
    <n v="1"/>
    <n v="80"/>
    <n v="3"/>
    <n v="19"/>
    <n v="5"/>
    <n v="2"/>
    <n v="18"/>
    <n v="10"/>
    <n v="3"/>
    <n v="7"/>
    <n v="0"/>
    <x v="0"/>
  </r>
  <r>
    <n v="36"/>
    <x v="1"/>
    <s v="Non-Travel"/>
    <n v="1105"/>
    <x v="1"/>
    <n v="24"/>
    <x v="2"/>
    <x v="0"/>
    <n v="1"/>
    <n v="419"/>
    <n v="2"/>
    <x v="0"/>
    <n v="47"/>
    <n v="3"/>
    <n v="2"/>
    <x v="2"/>
    <n v="2"/>
    <x v="1"/>
    <n v="5674"/>
    <n v="6927"/>
    <n v="7"/>
    <s v="Y"/>
    <s v="No"/>
    <n v="15"/>
    <n v="3"/>
    <n v="3"/>
    <n v="80"/>
    <n v="1"/>
    <n v="11"/>
    <n v="3"/>
    <n v="3"/>
    <n v="9"/>
    <n v="8"/>
    <n v="0"/>
    <n v="8"/>
    <n v="0"/>
    <x v="0"/>
  </r>
  <r>
    <n v="32"/>
    <x v="1"/>
    <s v="Travel_Rarely"/>
    <n v="906"/>
    <x v="0"/>
    <n v="7"/>
    <x v="3"/>
    <x v="0"/>
    <n v="1"/>
    <n v="420"/>
    <n v="4"/>
    <x v="1"/>
    <n v="91"/>
    <n v="2"/>
    <n v="2"/>
    <x v="0"/>
    <n v="3"/>
    <x v="1"/>
    <n v="5484"/>
    <n v="16985"/>
    <n v="1"/>
    <s v="Y"/>
    <s v="No"/>
    <n v="14"/>
    <n v="3"/>
    <n v="3"/>
    <n v="80"/>
    <n v="1"/>
    <n v="13"/>
    <n v="3"/>
    <n v="2"/>
    <n v="13"/>
    <n v="8"/>
    <n v="4"/>
    <n v="8"/>
    <n v="0"/>
    <x v="2"/>
  </r>
  <r>
    <n v="38"/>
    <x v="1"/>
    <s v="Travel_Rarely"/>
    <n v="849"/>
    <x v="1"/>
    <n v="25"/>
    <x v="0"/>
    <x v="0"/>
    <n v="1"/>
    <n v="421"/>
    <n v="1"/>
    <x v="0"/>
    <n v="81"/>
    <n v="2"/>
    <n v="3"/>
    <x v="7"/>
    <n v="2"/>
    <x v="1"/>
    <n v="12061"/>
    <n v="26707"/>
    <n v="3"/>
    <s v="Y"/>
    <s v="No"/>
    <n v="17"/>
    <n v="3"/>
    <n v="3"/>
    <n v="80"/>
    <n v="1"/>
    <n v="19"/>
    <n v="2"/>
    <n v="3"/>
    <n v="10"/>
    <n v="8"/>
    <n v="0"/>
    <n v="1"/>
    <n v="0"/>
    <x v="0"/>
  </r>
  <r>
    <n v="58"/>
    <x v="1"/>
    <s v="Non-Travel"/>
    <n v="390"/>
    <x v="1"/>
    <n v="1"/>
    <x v="2"/>
    <x v="0"/>
    <n v="1"/>
    <n v="422"/>
    <n v="4"/>
    <x v="1"/>
    <n v="32"/>
    <n v="1"/>
    <n v="2"/>
    <x v="4"/>
    <n v="3"/>
    <x v="2"/>
    <n v="5660"/>
    <n v="17056"/>
    <n v="2"/>
    <s v="Y"/>
    <s v="Yes"/>
    <n v="13"/>
    <n v="3"/>
    <n v="4"/>
    <n v="80"/>
    <n v="1"/>
    <n v="12"/>
    <n v="2"/>
    <n v="3"/>
    <n v="5"/>
    <n v="3"/>
    <n v="1"/>
    <n v="2"/>
    <n v="0"/>
    <x v="3"/>
  </r>
  <r>
    <n v="31"/>
    <x v="1"/>
    <s v="Travel_Rarely"/>
    <n v="691"/>
    <x v="1"/>
    <n v="5"/>
    <x v="2"/>
    <x v="4"/>
    <n v="1"/>
    <n v="423"/>
    <n v="3"/>
    <x v="1"/>
    <n v="86"/>
    <n v="3"/>
    <n v="1"/>
    <x v="1"/>
    <n v="4"/>
    <x v="1"/>
    <n v="4821"/>
    <n v="10077"/>
    <n v="0"/>
    <s v="Y"/>
    <s v="Yes"/>
    <n v="12"/>
    <n v="3"/>
    <n v="3"/>
    <n v="80"/>
    <n v="1"/>
    <n v="6"/>
    <n v="4"/>
    <n v="3"/>
    <n v="5"/>
    <n v="2"/>
    <n v="0"/>
    <n v="3"/>
    <n v="0"/>
    <x v="2"/>
  </r>
  <r>
    <n v="31"/>
    <x v="1"/>
    <s v="Travel_Rarely"/>
    <n v="106"/>
    <x v="2"/>
    <n v="2"/>
    <x v="3"/>
    <x v="5"/>
    <n v="1"/>
    <n v="424"/>
    <n v="1"/>
    <x v="1"/>
    <n v="62"/>
    <n v="2"/>
    <n v="2"/>
    <x v="8"/>
    <n v="1"/>
    <x v="1"/>
    <n v="6410"/>
    <n v="17822"/>
    <n v="3"/>
    <s v="Y"/>
    <s v="No"/>
    <n v="12"/>
    <n v="3"/>
    <n v="4"/>
    <n v="80"/>
    <n v="0"/>
    <n v="9"/>
    <n v="1"/>
    <n v="3"/>
    <n v="2"/>
    <n v="2"/>
    <n v="1"/>
    <n v="0"/>
    <n v="0"/>
    <x v="2"/>
  </r>
  <r>
    <n v="45"/>
    <x v="1"/>
    <s v="Travel_Frequently"/>
    <n v="1249"/>
    <x v="1"/>
    <n v="7"/>
    <x v="3"/>
    <x v="0"/>
    <n v="1"/>
    <n v="425"/>
    <n v="1"/>
    <x v="1"/>
    <n v="97"/>
    <n v="3"/>
    <n v="3"/>
    <x v="2"/>
    <n v="1"/>
    <x v="2"/>
    <n v="5210"/>
    <n v="20308"/>
    <n v="1"/>
    <s v="Y"/>
    <s v="No"/>
    <n v="18"/>
    <n v="3"/>
    <n v="1"/>
    <n v="80"/>
    <n v="1"/>
    <n v="24"/>
    <n v="2"/>
    <n v="3"/>
    <n v="24"/>
    <n v="9"/>
    <n v="9"/>
    <n v="11"/>
    <n v="0"/>
    <x v="1"/>
  </r>
  <r>
    <n v="31"/>
    <x v="1"/>
    <s v="Travel_Rarely"/>
    <n v="192"/>
    <x v="1"/>
    <n v="2"/>
    <x v="2"/>
    <x v="0"/>
    <n v="1"/>
    <n v="426"/>
    <n v="3"/>
    <x v="1"/>
    <n v="32"/>
    <n v="3"/>
    <n v="1"/>
    <x v="1"/>
    <n v="4"/>
    <x v="2"/>
    <n v="2695"/>
    <n v="7747"/>
    <n v="0"/>
    <s v="Y"/>
    <s v="Yes"/>
    <n v="18"/>
    <n v="3"/>
    <n v="2"/>
    <n v="80"/>
    <n v="1"/>
    <n v="3"/>
    <n v="2"/>
    <n v="1"/>
    <n v="2"/>
    <n v="2"/>
    <n v="2"/>
    <n v="2"/>
    <n v="0"/>
    <x v="2"/>
  </r>
  <r>
    <n v="33"/>
    <x v="1"/>
    <s v="Travel_Frequently"/>
    <n v="553"/>
    <x v="1"/>
    <n v="5"/>
    <x v="2"/>
    <x v="0"/>
    <n v="1"/>
    <n v="428"/>
    <n v="4"/>
    <x v="0"/>
    <n v="74"/>
    <n v="3"/>
    <n v="3"/>
    <x v="5"/>
    <n v="2"/>
    <x v="1"/>
    <n v="11878"/>
    <n v="23364"/>
    <n v="6"/>
    <s v="Y"/>
    <s v="No"/>
    <n v="11"/>
    <n v="3"/>
    <n v="2"/>
    <n v="80"/>
    <n v="2"/>
    <n v="12"/>
    <n v="2"/>
    <n v="3"/>
    <n v="10"/>
    <n v="6"/>
    <n v="8"/>
    <n v="8"/>
    <n v="0"/>
    <x v="2"/>
  </r>
  <r>
    <n v="39"/>
    <x v="1"/>
    <s v="Travel_Rarely"/>
    <n v="117"/>
    <x v="1"/>
    <n v="10"/>
    <x v="1"/>
    <x v="2"/>
    <n v="1"/>
    <n v="429"/>
    <n v="3"/>
    <x v="1"/>
    <n v="99"/>
    <n v="3"/>
    <n v="4"/>
    <x v="5"/>
    <n v="1"/>
    <x v="1"/>
    <n v="17068"/>
    <n v="5355"/>
    <n v="1"/>
    <s v="Y"/>
    <s v="Yes"/>
    <n v="14"/>
    <n v="3"/>
    <n v="4"/>
    <n v="80"/>
    <n v="0"/>
    <n v="21"/>
    <n v="3"/>
    <n v="3"/>
    <n v="21"/>
    <n v="9"/>
    <n v="11"/>
    <n v="10"/>
    <n v="0"/>
    <x v="0"/>
  </r>
  <r>
    <n v="43"/>
    <x v="1"/>
    <s v="Travel_Frequently"/>
    <n v="185"/>
    <x v="1"/>
    <n v="10"/>
    <x v="2"/>
    <x v="0"/>
    <n v="1"/>
    <n v="430"/>
    <n v="3"/>
    <x v="0"/>
    <n v="33"/>
    <n v="3"/>
    <n v="1"/>
    <x v="2"/>
    <n v="4"/>
    <x v="0"/>
    <n v="2455"/>
    <n v="10675"/>
    <n v="0"/>
    <s v="Y"/>
    <s v="No"/>
    <n v="19"/>
    <n v="3"/>
    <n v="1"/>
    <n v="80"/>
    <n v="0"/>
    <n v="9"/>
    <n v="5"/>
    <n v="3"/>
    <n v="8"/>
    <n v="7"/>
    <n v="1"/>
    <n v="7"/>
    <n v="0"/>
    <x v="0"/>
  </r>
  <r>
    <n v="49"/>
    <x v="1"/>
    <s v="Travel_Rarely"/>
    <n v="1091"/>
    <x v="1"/>
    <n v="1"/>
    <x v="0"/>
    <x v="4"/>
    <n v="1"/>
    <n v="431"/>
    <n v="3"/>
    <x v="0"/>
    <n v="90"/>
    <n v="2"/>
    <n v="4"/>
    <x v="4"/>
    <n v="3"/>
    <x v="0"/>
    <n v="13964"/>
    <n v="17810"/>
    <n v="7"/>
    <s v="Y"/>
    <s v="Yes"/>
    <n v="12"/>
    <n v="3"/>
    <n v="4"/>
    <n v="80"/>
    <n v="0"/>
    <n v="25"/>
    <n v="2"/>
    <n v="3"/>
    <n v="7"/>
    <n v="1"/>
    <n v="0"/>
    <n v="7"/>
    <n v="0"/>
    <x v="1"/>
  </r>
  <r>
    <n v="52"/>
    <x v="0"/>
    <s v="Travel_Rarely"/>
    <n v="723"/>
    <x v="1"/>
    <n v="8"/>
    <x v="2"/>
    <x v="2"/>
    <n v="1"/>
    <n v="433"/>
    <n v="3"/>
    <x v="1"/>
    <n v="85"/>
    <n v="2"/>
    <n v="2"/>
    <x v="1"/>
    <n v="2"/>
    <x v="1"/>
    <n v="4941"/>
    <n v="17747"/>
    <n v="2"/>
    <s v="Y"/>
    <s v="No"/>
    <n v="15"/>
    <n v="3"/>
    <n v="1"/>
    <n v="80"/>
    <n v="0"/>
    <n v="11"/>
    <n v="3"/>
    <n v="2"/>
    <n v="8"/>
    <n v="2"/>
    <n v="7"/>
    <n v="7"/>
    <n v="1"/>
    <x v="1"/>
  </r>
  <r>
    <n v="27"/>
    <x v="1"/>
    <s v="Travel_Rarely"/>
    <n v="1220"/>
    <x v="1"/>
    <n v="5"/>
    <x v="3"/>
    <x v="0"/>
    <n v="1"/>
    <n v="434"/>
    <n v="3"/>
    <x v="0"/>
    <n v="85"/>
    <n v="3"/>
    <n v="1"/>
    <x v="1"/>
    <n v="2"/>
    <x v="0"/>
    <n v="2478"/>
    <n v="20938"/>
    <n v="1"/>
    <s v="Y"/>
    <s v="Yes"/>
    <n v="12"/>
    <n v="3"/>
    <n v="2"/>
    <n v="80"/>
    <n v="0"/>
    <n v="4"/>
    <n v="2"/>
    <n v="2"/>
    <n v="4"/>
    <n v="3"/>
    <n v="1"/>
    <n v="2"/>
    <n v="0"/>
    <x v="2"/>
  </r>
  <r>
    <n v="32"/>
    <x v="1"/>
    <s v="Travel_Rarely"/>
    <n v="588"/>
    <x v="0"/>
    <n v="8"/>
    <x v="0"/>
    <x v="4"/>
    <n v="1"/>
    <n v="436"/>
    <n v="3"/>
    <x v="0"/>
    <n v="65"/>
    <n v="2"/>
    <n v="2"/>
    <x v="0"/>
    <n v="2"/>
    <x v="1"/>
    <n v="5228"/>
    <n v="24624"/>
    <n v="1"/>
    <s v="Y"/>
    <s v="Yes"/>
    <n v="11"/>
    <n v="3"/>
    <n v="4"/>
    <n v="80"/>
    <n v="0"/>
    <n v="13"/>
    <n v="2"/>
    <n v="3"/>
    <n v="13"/>
    <n v="12"/>
    <n v="11"/>
    <n v="9"/>
    <n v="0"/>
    <x v="2"/>
  </r>
  <r>
    <n v="27"/>
    <x v="1"/>
    <s v="Travel_Rarely"/>
    <n v="1377"/>
    <x v="0"/>
    <n v="2"/>
    <x v="3"/>
    <x v="0"/>
    <n v="1"/>
    <n v="437"/>
    <n v="4"/>
    <x v="1"/>
    <n v="74"/>
    <n v="3"/>
    <n v="2"/>
    <x v="0"/>
    <n v="3"/>
    <x v="0"/>
    <n v="4478"/>
    <n v="5242"/>
    <n v="1"/>
    <s v="Y"/>
    <s v="Yes"/>
    <n v="11"/>
    <n v="3"/>
    <n v="1"/>
    <n v="80"/>
    <n v="0"/>
    <n v="5"/>
    <n v="3"/>
    <n v="3"/>
    <n v="5"/>
    <n v="4"/>
    <n v="0"/>
    <n v="4"/>
    <n v="0"/>
    <x v="2"/>
  </r>
  <r>
    <n v="31"/>
    <x v="1"/>
    <s v="Travel_Rarely"/>
    <n v="691"/>
    <x v="0"/>
    <n v="7"/>
    <x v="3"/>
    <x v="3"/>
    <n v="1"/>
    <n v="438"/>
    <n v="4"/>
    <x v="1"/>
    <n v="73"/>
    <n v="3"/>
    <n v="2"/>
    <x v="0"/>
    <n v="4"/>
    <x v="2"/>
    <n v="7547"/>
    <n v="7143"/>
    <n v="4"/>
    <s v="Y"/>
    <s v="No"/>
    <n v="12"/>
    <n v="3"/>
    <n v="4"/>
    <n v="80"/>
    <n v="3"/>
    <n v="13"/>
    <n v="3"/>
    <n v="3"/>
    <n v="7"/>
    <n v="7"/>
    <n v="1"/>
    <n v="7"/>
    <n v="0"/>
    <x v="2"/>
  </r>
  <r>
    <n v="32"/>
    <x v="1"/>
    <s v="Travel_Rarely"/>
    <n v="1018"/>
    <x v="1"/>
    <n v="2"/>
    <x v="2"/>
    <x v="2"/>
    <n v="1"/>
    <n v="439"/>
    <n v="1"/>
    <x v="0"/>
    <n v="74"/>
    <n v="4"/>
    <n v="2"/>
    <x v="1"/>
    <n v="4"/>
    <x v="0"/>
    <n v="5055"/>
    <n v="10557"/>
    <n v="7"/>
    <s v="Y"/>
    <s v="No"/>
    <n v="16"/>
    <n v="3"/>
    <n v="3"/>
    <n v="80"/>
    <n v="0"/>
    <n v="10"/>
    <n v="0"/>
    <n v="2"/>
    <n v="7"/>
    <n v="7"/>
    <n v="0"/>
    <n v="7"/>
    <n v="0"/>
    <x v="2"/>
  </r>
  <r>
    <n v="28"/>
    <x v="0"/>
    <s v="Travel_Rarely"/>
    <n v="1157"/>
    <x v="1"/>
    <n v="2"/>
    <x v="2"/>
    <x v="2"/>
    <n v="1"/>
    <n v="440"/>
    <n v="1"/>
    <x v="1"/>
    <n v="84"/>
    <n v="1"/>
    <n v="1"/>
    <x v="1"/>
    <n v="4"/>
    <x v="1"/>
    <n v="3464"/>
    <n v="24737"/>
    <n v="5"/>
    <s v="Y"/>
    <s v="Yes"/>
    <n v="13"/>
    <n v="3"/>
    <n v="4"/>
    <n v="80"/>
    <n v="0"/>
    <n v="5"/>
    <n v="4"/>
    <n v="2"/>
    <n v="3"/>
    <n v="2"/>
    <n v="2"/>
    <n v="2"/>
    <n v="1"/>
    <x v="2"/>
  </r>
  <r>
    <n v="30"/>
    <x v="1"/>
    <s v="Travel_Rarely"/>
    <n v="1275"/>
    <x v="1"/>
    <n v="28"/>
    <x v="0"/>
    <x v="2"/>
    <n v="1"/>
    <n v="441"/>
    <n v="4"/>
    <x v="0"/>
    <n v="64"/>
    <n v="3"/>
    <n v="2"/>
    <x v="1"/>
    <n v="4"/>
    <x v="1"/>
    <n v="5775"/>
    <n v="11934"/>
    <n v="1"/>
    <s v="Y"/>
    <s v="No"/>
    <n v="13"/>
    <n v="3"/>
    <n v="4"/>
    <n v="80"/>
    <n v="2"/>
    <n v="11"/>
    <n v="2"/>
    <n v="3"/>
    <n v="10"/>
    <n v="8"/>
    <n v="1"/>
    <n v="9"/>
    <n v="0"/>
    <x v="2"/>
  </r>
  <r>
    <n v="31"/>
    <x v="1"/>
    <s v="Travel_Frequently"/>
    <n v="798"/>
    <x v="1"/>
    <n v="7"/>
    <x v="0"/>
    <x v="0"/>
    <n v="1"/>
    <n v="442"/>
    <n v="3"/>
    <x v="0"/>
    <n v="48"/>
    <n v="2"/>
    <n v="3"/>
    <x v="3"/>
    <n v="3"/>
    <x v="1"/>
    <n v="8943"/>
    <n v="14034"/>
    <n v="1"/>
    <s v="Y"/>
    <s v="No"/>
    <n v="24"/>
    <n v="4"/>
    <n v="1"/>
    <n v="80"/>
    <n v="1"/>
    <n v="10"/>
    <n v="2"/>
    <n v="3"/>
    <n v="10"/>
    <n v="9"/>
    <n v="8"/>
    <n v="9"/>
    <n v="0"/>
    <x v="2"/>
  </r>
  <r>
    <n v="39"/>
    <x v="1"/>
    <s v="Travel_Frequently"/>
    <n v="672"/>
    <x v="1"/>
    <n v="7"/>
    <x v="0"/>
    <x v="2"/>
    <n v="1"/>
    <n v="444"/>
    <n v="3"/>
    <x v="1"/>
    <n v="54"/>
    <n v="2"/>
    <n v="5"/>
    <x v="5"/>
    <n v="4"/>
    <x v="1"/>
    <n v="19272"/>
    <n v="21141"/>
    <n v="1"/>
    <s v="Y"/>
    <s v="No"/>
    <n v="15"/>
    <n v="3"/>
    <n v="1"/>
    <n v="80"/>
    <n v="1"/>
    <n v="21"/>
    <n v="2"/>
    <n v="3"/>
    <n v="21"/>
    <n v="9"/>
    <n v="13"/>
    <n v="3"/>
    <n v="0"/>
    <x v="0"/>
  </r>
  <r>
    <n v="39"/>
    <x v="0"/>
    <s v="Travel_Rarely"/>
    <n v="1162"/>
    <x v="0"/>
    <n v="3"/>
    <x v="0"/>
    <x v="2"/>
    <n v="1"/>
    <n v="445"/>
    <n v="4"/>
    <x v="0"/>
    <n v="41"/>
    <n v="3"/>
    <n v="2"/>
    <x v="0"/>
    <n v="3"/>
    <x v="1"/>
    <n v="5238"/>
    <n v="17778"/>
    <n v="4"/>
    <s v="Y"/>
    <s v="Yes"/>
    <n v="18"/>
    <n v="3"/>
    <n v="1"/>
    <n v="80"/>
    <n v="0"/>
    <n v="12"/>
    <n v="3"/>
    <n v="2"/>
    <n v="1"/>
    <n v="0"/>
    <n v="0"/>
    <n v="0"/>
    <n v="1"/>
    <x v="0"/>
  </r>
  <r>
    <n v="33"/>
    <x v="1"/>
    <s v="Travel_Frequently"/>
    <n v="508"/>
    <x v="0"/>
    <n v="10"/>
    <x v="3"/>
    <x v="3"/>
    <n v="1"/>
    <n v="446"/>
    <n v="2"/>
    <x v="1"/>
    <n v="46"/>
    <n v="2"/>
    <n v="2"/>
    <x v="0"/>
    <n v="4"/>
    <x v="0"/>
    <n v="4682"/>
    <n v="4317"/>
    <n v="3"/>
    <s v="Y"/>
    <s v="No"/>
    <n v="14"/>
    <n v="3"/>
    <n v="3"/>
    <n v="80"/>
    <n v="0"/>
    <n v="9"/>
    <n v="6"/>
    <n v="2"/>
    <n v="7"/>
    <n v="7"/>
    <n v="0"/>
    <n v="1"/>
    <n v="0"/>
    <x v="2"/>
  </r>
  <r>
    <n v="47"/>
    <x v="1"/>
    <s v="Travel_Rarely"/>
    <n v="1482"/>
    <x v="1"/>
    <n v="5"/>
    <x v="4"/>
    <x v="0"/>
    <n v="1"/>
    <n v="447"/>
    <n v="4"/>
    <x v="1"/>
    <n v="42"/>
    <n v="3"/>
    <n v="5"/>
    <x v="7"/>
    <n v="3"/>
    <x v="1"/>
    <n v="18300"/>
    <n v="16375"/>
    <n v="4"/>
    <s v="Y"/>
    <s v="No"/>
    <n v="11"/>
    <n v="3"/>
    <n v="2"/>
    <n v="80"/>
    <n v="1"/>
    <n v="21"/>
    <n v="2"/>
    <n v="3"/>
    <n v="3"/>
    <n v="2"/>
    <n v="1"/>
    <n v="1"/>
    <n v="0"/>
    <x v="1"/>
  </r>
  <r>
    <n v="43"/>
    <x v="1"/>
    <s v="Travel_Frequently"/>
    <n v="559"/>
    <x v="1"/>
    <n v="10"/>
    <x v="2"/>
    <x v="0"/>
    <n v="1"/>
    <n v="448"/>
    <n v="3"/>
    <x v="0"/>
    <n v="82"/>
    <n v="2"/>
    <n v="2"/>
    <x v="2"/>
    <n v="3"/>
    <x v="2"/>
    <n v="5257"/>
    <n v="6227"/>
    <n v="1"/>
    <s v="Y"/>
    <s v="No"/>
    <n v="11"/>
    <n v="3"/>
    <n v="2"/>
    <n v="80"/>
    <n v="1"/>
    <n v="9"/>
    <n v="3"/>
    <n v="4"/>
    <n v="9"/>
    <n v="7"/>
    <n v="0"/>
    <n v="0"/>
    <n v="0"/>
    <x v="0"/>
  </r>
  <r>
    <n v="27"/>
    <x v="1"/>
    <s v="Non-Travel"/>
    <n v="210"/>
    <x v="0"/>
    <n v="1"/>
    <x v="1"/>
    <x v="3"/>
    <n v="1"/>
    <n v="449"/>
    <n v="3"/>
    <x v="1"/>
    <n v="73"/>
    <n v="3"/>
    <n v="2"/>
    <x v="0"/>
    <n v="2"/>
    <x v="1"/>
    <n v="6349"/>
    <n v="22107"/>
    <n v="0"/>
    <s v="Y"/>
    <s v="Yes"/>
    <n v="13"/>
    <n v="3"/>
    <n v="4"/>
    <n v="80"/>
    <n v="1"/>
    <n v="6"/>
    <n v="0"/>
    <n v="3"/>
    <n v="5"/>
    <n v="4"/>
    <n v="1"/>
    <n v="4"/>
    <n v="0"/>
    <x v="2"/>
  </r>
  <r>
    <n v="54"/>
    <x v="1"/>
    <s v="Travel_Frequently"/>
    <n v="928"/>
    <x v="1"/>
    <n v="20"/>
    <x v="2"/>
    <x v="0"/>
    <n v="1"/>
    <n v="450"/>
    <n v="4"/>
    <x v="0"/>
    <n v="31"/>
    <n v="3"/>
    <n v="2"/>
    <x v="1"/>
    <n v="3"/>
    <x v="0"/>
    <n v="4869"/>
    <n v="16885"/>
    <n v="3"/>
    <s v="Y"/>
    <s v="No"/>
    <n v="12"/>
    <n v="3"/>
    <n v="4"/>
    <n v="80"/>
    <n v="0"/>
    <n v="20"/>
    <n v="4"/>
    <n v="2"/>
    <n v="4"/>
    <n v="3"/>
    <n v="0"/>
    <n v="3"/>
    <n v="0"/>
    <x v="1"/>
  </r>
  <r>
    <n v="43"/>
    <x v="1"/>
    <s v="Travel_Rarely"/>
    <n v="1001"/>
    <x v="1"/>
    <n v="7"/>
    <x v="3"/>
    <x v="0"/>
    <n v="1"/>
    <n v="451"/>
    <n v="3"/>
    <x v="0"/>
    <n v="43"/>
    <n v="3"/>
    <n v="3"/>
    <x v="4"/>
    <n v="1"/>
    <x v="1"/>
    <n v="9985"/>
    <n v="9262"/>
    <n v="8"/>
    <s v="Y"/>
    <s v="No"/>
    <n v="16"/>
    <n v="3"/>
    <n v="1"/>
    <n v="80"/>
    <n v="1"/>
    <n v="10"/>
    <n v="1"/>
    <n v="2"/>
    <n v="1"/>
    <n v="0"/>
    <n v="0"/>
    <n v="0"/>
    <n v="0"/>
    <x v="0"/>
  </r>
  <r>
    <n v="45"/>
    <x v="1"/>
    <s v="Travel_Rarely"/>
    <n v="549"/>
    <x v="1"/>
    <n v="8"/>
    <x v="2"/>
    <x v="1"/>
    <n v="1"/>
    <n v="452"/>
    <n v="4"/>
    <x v="1"/>
    <n v="75"/>
    <n v="3"/>
    <n v="2"/>
    <x v="1"/>
    <n v="4"/>
    <x v="1"/>
    <n v="3697"/>
    <n v="9278"/>
    <n v="9"/>
    <s v="Y"/>
    <s v="No"/>
    <n v="14"/>
    <n v="3"/>
    <n v="1"/>
    <n v="80"/>
    <n v="2"/>
    <n v="12"/>
    <n v="3"/>
    <n v="3"/>
    <n v="10"/>
    <n v="9"/>
    <n v="9"/>
    <n v="8"/>
    <n v="0"/>
    <x v="1"/>
  </r>
  <r>
    <n v="40"/>
    <x v="1"/>
    <s v="Travel_Rarely"/>
    <n v="1124"/>
    <x v="0"/>
    <n v="1"/>
    <x v="0"/>
    <x v="2"/>
    <n v="1"/>
    <n v="453"/>
    <n v="2"/>
    <x v="1"/>
    <n v="57"/>
    <n v="1"/>
    <n v="2"/>
    <x v="0"/>
    <n v="4"/>
    <x v="1"/>
    <n v="7457"/>
    <n v="13273"/>
    <n v="2"/>
    <s v="Y"/>
    <s v="Yes"/>
    <n v="22"/>
    <n v="4"/>
    <n v="3"/>
    <n v="80"/>
    <n v="3"/>
    <n v="6"/>
    <n v="2"/>
    <n v="2"/>
    <n v="4"/>
    <n v="3"/>
    <n v="0"/>
    <n v="2"/>
    <n v="0"/>
    <x v="0"/>
  </r>
  <r>
    <n v="29"/>
    <x v="0"/>
    <s v="Travel_Rarely"/>
    <n v="318"/>
    <x v="1"/>
    <n v="8"/>
    <x v="2"/>
    <x v="1"/>
    <n v="1"/>
    <n v="454"/>
    <n v="2"/>
    <x v="1"/>
    <n v="77"/>
    <n v="1"/>
    <n v="1"/>
    <x v="2"/>
    <n v="1"/>
    <x v="1"/>
    <n v="2119"/>
    <n v="4759"/>
    <n v="1"/>
    <s v="Y"/>
    <s v="Yes"/>
    <n v="11"/>
    <n v="3"/>
    <n v="4"/>
    <n v="80"/>
    <n v="0"/>
    <n v="7"/>
    <n v="4"/>
    <n v="2"/>
    <n v="7"/>
    <n v="7"/>
    <n v="0"/>
    <n v="7"/>
    <n v="1"/>
    <x v="2"/>
  </r>
  <r>
    <n v="29"/>
    <x v="1"/>
    <s v="Travel_Rarely"/>
    <n v="738"/>
    <x v="1"/>
    <n v="9"/>
    <x v="4"/>
    <x v="1"/>
    <n v="1"/>
    <n v="455"/>
    <n v="2"/>
    <x v="1"/>
    <n v="30"/>
    <n v="2"/>
    <n v="1"/>
    <x v="2"/>
    <n v="4"/>
    <x v="0"/>
    <n v="3983"/>
    <n v="7621"/>
    <n v="0"/>
    <s v="Y"/>
    <s v="No"/>
    <n v="17"/>
    <n v="3"/>
    <n v="3"/>
    <n v="80"/>
    <n v="0"/>
    <n v="4"/>
    <n v="2"/>
    <n v="3"/>
    <n v="3"/>
    <n v="2"/>
    <n v="2"/>
    <n v="2"/>
    <n v="0"/>
    <x v="2"/>
  </r>
  <r>
    <n v="30"/>
    <x v="1"/>
    <s v="Travel_Rarely"/>
    <n v="570"/>
    <x v="0"/>
    <n v="5"/>
    <x v="3"/>
    <x v="3"/>
    <n v="1"/>
    <n v="456"/>
    <n v="4"/>
    <x v="0"/>
    <n v="30"/>
    <n v="2"/>
    <n v="2"/>
    <x v="0"/>
    <n v="3"/>
    <x v="2"/>
    <n v="6118"/>
    <n v="5431"/>
    <n v="1"/>
    <s v="Y"/>
    <s v="No"/>
    <n v="13"/>
    <n v="3"/>
    <n v="3"/>
    <n v="80"/>
    <n v="3"/>
    <n v="10"/>
    <n v="2"/>
    <n v="3"/>
    <n v="10"/>
    <n v="9"/>
    <n v="1"/>
    <n v="2"/>
    <n v="0"/>
    <x v="2"/>
  </r>
  <r>
    <n v="27"/>
    <x v="1"/>
    <s v="Travel_Rarely"/>
    <n v="1130"/>
    <x v="0"/>
    <n v="8"/>
    <x v="2"/>
    <x v="3"/>
    <n v="1"/>
    <n v="458"/>
    <n v="2"/>
    <x v="0"/>
    <n v="56"/>
    <n v="3"/>
    <n v="2"/>
    <x v="0"/>
    <n v="2"/>
    <x v="1"/>
    <n v="6214"/>
    <n v="3415"/>
    <n v="1"/>
    <s v="Y"/>
    <s v="No"/>
    <n v="18"/>
    <n v="3"/>
    <n v="1"/>
    <n v="80"/>
    <n v="1"/>
    <n v="8"/>
    <n v="3"/>
    <n v="3"/>
    <n v="8"/>
    <n v="7"/>
    <n v="0"/>
    <n v="7"/>
    <n v="0"/>
    <x v="2"/>
  </r>
  <r>
    <n v="37"/>
    <x v="1"/>
    <s v="Travel_Rarely"/>
    <n v="1192"/>
    <x v="1"/>
    <n v="5"/>
    <x v="0"/>
    <x v="2"/>
    <n v="1"/>
    <n v="460"/>
    <n v="4"/>
    <x v="1"/>
    <n v="61"/>
    <n v="3"/>
    <n v="2"/>
    <x v="3"/>
    <n v="4"/>
    <x v="2"/>
    <n v="6347"/>
    <n v="23177"/>
    <n v="7"/>
    <s v="Y"/>
    <s v="No"/>
    <n v="16"/>
    <n v="3"/>
    <n v="3"/>
    <n v="80"/>
    <n v="2"/>
    <n v="8"/>
    <n v="2"/>
    <n v="2"/>
    <n v="6"/>
    <n v="2"/>
    <n v="0"/>
    <n v="4"/>
    <n v="0"/>
    <x v="0"/>
  </r>
  <r>
    <n v="38"/>
    <x v="1"/>
    <s v="Travel_Rarely"/>
    <n v="343"/>
    <x v="1"/>
    <n v="15"/>
    <x v="0"/>
    <x v="0"/>
    <n v="1"/>
    <n v="461"/>
    <n v="3"/>
    <x v="1"/>
    <n v="92"/>
    <n v="2"/>
    <n v="3"/>
    <x v="7"/>
    <n v="4"/>
    <x v="2"/>
    <n v="11510"/>
    <n v="15682"/>
    <n v="0"/>
    <s v="Y"/>
    <s v="Yes"/>
    <n v="14"/>
    <n v="3"/>
    <n v="2"/>
    <n v="80"/>
    <n v="1"/>
    <n v="12"/>
    <n v="3"/>
    <n v="3"/>
    <n v="11"/>
    <n v="10"/>
    <n v="2"/>
    <n v="9"/>
    <n v="0"/>
    <x v="0"/>
  </r>
  <r>
    <n v="31"/>
    <x v="1"/>
    <s v="Travel_Rarely"/>
    <n v="1232"/>
    <x v="1"/>
    <n v="7"/>
    <x v="2"/>
    <x v="2"/>
    <n v="1"/>
    <n v="462"/>
    <n v="3"/>
    <x v="0"/>
    <n v="39"/>
    <n v="3"/>
    <n v="3"/>
    <x v="3"/>
    <n v="4"/>
    <x v="0"/>
    <n v="7143"/>
    <n v="25713"/>
    <n v="1"/>
    <s v="Y"/>
    <s v="Yes"/>
    <n v="14"/>
    <n v="3"/>
    <n v="3"/>
    <n v="80"/>
    <n v="0"/>
    <n v="11"/>
    <n v="2"/>
    <n v="2"/>
    <n v="11"/>
    <n v="9"/>
    <n v="4"/>
    <n v="10"/>
    <n v="0"/>
    <x v="2"/>
  </r>
  <r>
    <n v="29"/>
    <x v="1"/>
    <s v="Travel_Rarely"/>
    <n v="144"/>
    <x v="0"/>
    <n v="10"/>
    <x v="1"/>
    <x v="3"/>
    <n v="1"/>
    <n v="463"/>
    <n v="4"/>
    <x v="0"/>
    <n v="39"/>
    <n v="2"/>
    <n v="2"/>
    <x v="0"/>
    <n v="2"/>
    <x v="2"/>
    <n v="8268"/>
    <n v="11866"/>
    <n v="1"/>
    <s v="Y"/>
    <s v="Yes"/>
    <n v="14"/>
    <n v="3"/>
    <n v="1"/>
    <n v="80"/>
    <n v="2"/>
    <n v="7"/>
    <n v="2"/>
    <n v="3"/>
    <n v="7"/>
    <n v="7"/>
    <n v="1"/>
    <n v="7"/>
    <n v="0"/>
    <x v="2"/>
  </r>
  <r>
    <n v="35"/>
    <x v="1"/>
    <s v="Travel_Rarely"/>
    <n v="1296"/>
    <x v="1"/>
    <n v="5"/>
    <x v="2"/>
    <x v="4"/>
    <n v="1"/>
    <n v="464"/>
    <n v="3"/>
    <x v="1"/>
    <n v="62"/>
    <n v="3"/>
    <n v="3"/>
    <x v="3"/>
    <n v="2"/>
    <x v="0"/>
    <n v="8095"/>
    <n v="18264"/>
    <n v="0"/>
    <s v="Y"/>
    <s v="No"/>
    <n v="13"/>
    <n v="3"/>
    <n v="4"/>
    <n v="80"/>
    <n v="0"/>
    <n v="17"/>
    <n v="5"/>
    <n v="3"/>
    <n v="16"/>
    <n v="6"/>
    <n v="0"/>
    <n v="13"/>
    <n v="0"/>
    <x v="0"/>
  </r>
  <r>
    <n v="23"/>
    <x v="1"/>
    <s v="Travel_Rarely"/>
    <n v="1309"/>
    <x v="1"/>
    <n v="26"/>
    <x v="1"/>
    <x v="0"/>
    <n v="1"/>
    <n v="465"/>
    <n v="3"/>
    <x v="1"/>
    <n v="83"/>
    <n v="3"/>
    <n v="1"/>
    <x v="1"/>
    <n v="4"/>
    <x v="2"/>
    <n v="2904"/>
    <n v="16092"/>
    <n v="1"/>
    <s v="Y"/>
    <s v="No"/>
    <n v="12"/>
    <n v="3"/>
    <n v="3"/>
    <n v="80"/>
    <n v="2"/>
    <n v="4"/>
    <n v="2"/>
    <n v="2"/>
    <n v="4"/>
    <n v="2"/>
    <n v="0"/>
    <n v="2"/>
    <n v="0"/>
    <x v="4"/>
  </r>
  <r>
    <n v="41"/>
    <x v="1"/>
    <s v="Travel_Rarely"/>
    <n v="483"/>
    <x v="1"/>
    <n v="6"/>
    <x v="3"/>
    <x v="2"/>
    <n v="1"/>
    <n v="466"/>
    <n v="4"/>
    <x v="1"/>
    <n v="95"/>
    <n v="2"/>
    <n v="2"/>
    <x v="3"/>
    <n v="2"/>
    <x v="0"/>
    <n v="6032"/>
    <n v="10110"/>
    <n v="6"/>
    <s v="Y"/>
    <s v="Yes"/>
    <n v="15"/>
    <n v="3"/>
    <n v="4"/>
    <n v="80"/>
    <n v="0"/>
    <n v="8"/>
    <n v="3"/>
    <n v="3"/>
    <n v="5"/>
    <n v="4"/>
    <n v="1"/>
    <n v="2"/>
    <n v="0"/>
    <x v="0"/>
  </r>
  <r>
    <n v="47"/>
    <x v="1"/>
    <s v="Travel_Frequently"/>
    <n v="1309"/>
    <x v="0"/>
    <n v="4"/>
    <x v="1"/>
    <x v="2"/>
    <n v="1"/>
    <n v="467"/>
    <n v="2"/>
    <x v="1"/>
    <n v="99"/>
    <n v="3"/>
    <n v="2"/>
    <x v="6"/>
    <n v="3"/>
    <x v="0"/>
    <n v="2976"/>
    <n v="25751"/>
    <n v="3"/>
    <s v="Y"/>
    <s v="No"/>
    <n v="19"/>
    <n v="3"/>
    <n v="1"/>
    <n v="80"/>
    <n v="0"/>
    <n v="5"/>
    <n v="3"/>
    <n v="3"/>
    <n v="0"/>
    <n v="0"/>
    <n v="0"/>
    <n v="0"/>
    <n v="0"/>
    <x v="1"/>
  </r>
  <r>
    <n v="42"/>
    <x v="1"/>
    <s v="Travel_Rarely"/>
    <n v="810"/>
    <x v="1"/>
    <n v="23"/>
    <x v="4"/>
    <x v="0"/>
    <n v="1"/>
    <n v="468"/>
    <n v="1"/>
    <x v="0"/>
    <n v="44"/>
    <n v="3"/>
    <n v="4"/>
    <x v="7"/>
    <n v="4"/>
    <x v="0"/>
    <n v="15992"/>
    <n v="15901"/>
    <n v="2"/>
    <s v="Y"/>
    <s v="No"/>
    <n v="14"/>
    <n v="3"/>
    <n v="2"/>
    <n v="80"/>
    <n v="0"/>
    <n v="16"/>
    <n v="2"/>
    <n v="3"/>
    <n v="1"/>
    <n v="0"/>
    <n v="0"/>
    <n v="0"/>
    <n v="0"/>
    <x v="0"/>
  </r>
  <r>
    <n v="29"/>
    <x v="1"/>
    <s v="Non-Travel"/>
    <n v="746"/>
    <x v="0"/>
    <n v="2"/>
    <x v="3"/>
    <x v="0"/>
    <n v="1"/>
    <n v="469"/>
    <n v="4"/>
    <x v="1"/>
    <n v="61"/>
    <n v="3"/>
    <n v="2"/>
    <x v="0"/>
    <n v="3"/>
    <x v="1"/>
    <n v="4649"/>
    <n v="16928"/>
    <n v="1"/>
    <s v="Y"/>
    <s v="No"/>
    <n v="14"/>
    <n v="3"/>
    <n v="1"/>
    <n v="80"/>
    <n v="1"/>
    <n v="4"/>
    <n v="3"/>
    <n v="2"/>
    <n v="4"/>
    <n v="3"/>
    <n v="0"/>
    <n v="2"/>
    <n v="0"/>
    <x v="2"/>
  </r>
  <r>
    <n v="42"/>
    <x v="1"/>
    <s v="Travel_Rarely"/>
    <n v="544"/>
    <x v="2"/>
    <n v="2"/>
    <x v="1"/>
    <x v="4"/>
    <n v="1"/>
    <n v="470"/>
    <n v="3"/>
    <x v="1"/>
    <n v="52"/>
    <n v="3"/>
    <n v="1"/>
    <x v="8"/>
    <n v="3"/>
    <x v="2"/>
    <n v="2696"/>
    <n v="24017"/>
    <n v="0"/>
    <s v="Y"/>
    <s v="Yes"/>
    <n v="11"/>
    <n v="3"/>
    <n v="3"/>
    <n v="80"/>
    <n v="1"/>
    <n v="4"/>
    <n v="5"/>
    <n v="3"/>
    <n v="3"/>
    <n v="2"/>
    <n v="1"/>
    <n v="0"/>
    <n v="0"/>
    <x v="0"/>
  </r>
  <r>
    <n v="32"/>
    <x v="1"/>
    <s v="Travel_Rarely"/>
    <n v="1062"/>
    <x v="1"/>
    <n v="2"/>
    <x v="3"/>
    <x v="2"/>
    <n v="1"/>
    <n v="471"/>
    <n v="3"/>
    <x v="0"/>
    <n v="75"/>
    <n v="3"/>
    <n v="1"/>
    <x v="2"/>
    <n v="2"/>
    <x v="1"/>
    <n v="2370"/>
    <n v="3956"/>
    <n v="1"/>
    <s v="Y"/>
    <s v="No"/>
    <n v="13"/>
    <n v="3"/>
    <n v="3"/>
    <n v="80"/>
    <n v="1"/>
    <n v="8"/>
    <n v="4"/>
    <n v="3"/>
    <n v="8"/>
    <n v="0"/>
    <n v="0"/>
    <n v="7"/>
    <n v="0"/>
    <x v="2"/>
  </r>
  <r>
    <n v="48"/>
    <x v="1"/>
    <s v="Travel_Rarely"/>
    <n v="530"/>
    <x v="0"/>
    <n v="29"/>
    <x v="1"/>
    <x v="2"/>
    <n v="1"/>
    <n v="473"/>
    <n v="1"/>
    <x v="0"/>
    <n v="91"/>
    <n v="3"/>
    <n v="3"/>
    <x v="5"/>
    <n v="3"/>
    <x v="1"/>
    <n v="12504"/>
    <n v="23978"/>
    <n v="3"/>
    <s v="Y"/>
    <s v="No"/>
    <n v="21"/>
    <n v="4"/>
    <n v="2"/>
    <n v="80"/>
    <n v="1"/>
    <n v="15"/>
    <n v="3"/>
    <n v="1"/>
    <n v="0"/>
    <n v="0"/>
    <n v="0"/>
    <n v="0"/>
    <n v="0"/>
    <x v="1"/>
  </r>
  <r>
    <n v="37"/>
    <x v="1"/>
    <s v="Travel_Rarely"/>
    <n v="1319"/>
    <x v="1"/>
    <n v="6"/>
    <x v="3"/>
    <x v="2"/>
    <n v="1"/>
    <n v="474"/>
    <n v="3"/>
    <x v="1"/>
    <n v="51"/>
    <n v="4"/>
    <n v="2"/>
    <x v="1"/>
    <n v="1"/>
    <x v="2"/>
    <n v="5974"/>
    <n v="17001"/>
    <n v="4"/>
    <s v="Y"/>
    <s v="Yes"/>
    <n v="13"/>
    <n v="3"/>
    <n v="1"/>
    <n v="80"/>
    <n v="2"/>
    <n v="13"/>
    <n v="2"/>
    <n v="3"/>
    <n v="7"/>
    <n v="7"/>
    <n v="6"/>
    <n v="7"/>
    <n v="0"/>
    <x v="0"/>
  </r>
  <r>
    <n v="30"/>
    <x v="1"/>
    <s v="Non-Travel"/>
    <n v="641"/>
    <x v="0"/>
    <n v="25"/>
    <x v="0"/>
    <x v="4"/>
    <n v="1"/>
    <n v="475"/>
    <n v="4"/>
    <x v="0"/>
    <n v="85"/>
    <n v="3"/>
    <n v="2"/>
    <x v="0"/>
    <n v="3"/>
    <x v="1"/>
    <n v="4736"/>
    <n v="6069"/>
    <n v="7"/>
    <s v="Y"/>
    <s v="Yes"/>
    <n v="12"/>
    <n v="3"/>
    <n v="2"/>
    <n v="80"/>
    <n v="1"/>
    <n v="4"/>
    <n v="2"/>
    <n v="4"/>
    <n v="2"/>
    <n v="2"/>
    <n v="2"/>
    <n v="2"/>
    <n v="0"/>
    <x v="2"/>
  </r>
  <r>
    <n v="26"/>
    <x v="1"/>
    <s v="Travel_Rarely"/>
    <n v="933"/>
    <x v="0"/>
    <n v="1"/>
    <x v="3"/>
    <x v="0"/>
    <n v="1"/>
    <n v="476"/>
    <n v="3"/>
    <x v="1"/>
    <n v="57"/>
    <n v="3"/>
    <n v="2"/>
    <x v="0"/>
    <n v="3"/>
    <x v="1"/>
    <n v="5296"/>
    <n v="20156"/>
    <n v="1"/>
    <s v="Y"/>
    <s v="No"/>
    <n v="17"/>
    <n v="3"/>
    <n v="2"/>
    <n v="80"/>
    <n v="1"/>
    <n v="8"/>
    <n v="3"/>
    <n v="3"/>
    <n v="8"/>
    <n v="7"/>
    <n v="7"/>
    <n v="7"/>
    <n v="0"/>
    <x v="2"/>
  </r>
  <r>
    <n v="42"/>
    <x v="1"/>
    <s v="Travel_Rarely"/>
    <n v="1332"/>
    <x v="1"/>
    <n v="2"/>
    <x v="2"/>
    <x v="1"/>
    <n v="1"/>
    <n v="477"/>
    <n v="1"/>
    <x v="1"/>
    <n v="98"/>
    <n v="2"/>
    <n v="2"/>
    <x v="4"/>
    <n v="4"/>
    <x v="0"/>
    <n v="6781"/>
    <n v="17078"/>
    <n v="3"/>
    <s v="Y"/>
    <s v="No"/>
    <n v="23"/>
    <n v="4"/>
    <n v="2"/>
    <n v="80"/>
    <n v="0"/>
    <n v="14"/>
    <n v="6"/>
    <n v="3"/>
    <n v="1"/>
    <n v="0"/>
    <n v="0"/>
    <n v="0"/>
    <n v="0"/>
    <x v="0"/>
  </r>
  <r>
    <n v="21"/>
    <x v="0"/>
    <s v="Travel_Frequently"/>
    <n v="756"/>
    <x v="0"/>
    <n v="1"/>
    <x v="1"/>
    <x v="4"/>
    <n v="1"/>
    <n v="478"/>
    <n v="1"/>
    <x v="0"/>
    <n v="99"/>
    <n v="2"/>
    <n v="1"/>
    <x v="6"/>
    <n v="2"/>
    <x v="0"/>
    <n v="2174"/>
    <n v="9150"/>
    <n v="1"/>
    <s v="Y"/>
    <s v="Yes"/>
    <n v="11"/>
    <n v="3"/>
    <n v="3"/>
    <n v="80"/>
    <n v="0"/>
    <n v="3"/>
    <n v="3"/>
    <n v="3"/>
    <n v="3"/>
    <n v="2"/>
    <n v="1"/>
    <n v="2"/>
    <n v="1"/>
    <x v="4"/>
  </r>
  <r>
    <n v="36"/>
    <x v="1"/>
    <s v="Non-Travel"/>
    <n v="845"/>
    <x v="0"/>
    <n v="1"/>
    <x v="4"/>
    <x v="2"/>
    <n v="1"/>
    <n v="479"/>
    <n v="4"/>
    <x v="0"/>
    <n v="45"/>
    <n v="3"/>
    <n v="2"/>
    <x v="0"/>
    <n v="4"/>
    <x v="0"/>
    <n v="6653"/>
    <n v="15276"/>
    <n v="4"/>
    <s v="Y"/>
    <s v="No"/>
    <n v="15"/>
    <n v="3"/>
    <n v="2"/>
    <n v="80"/>
    <n v="0"/>
    <n v="7"/>
    <n v="6"/>
    <n v="3"/>
    <n v="1"/>
    <n v="0"/>
    <n v="0"/>
    <n v="0"/>
    <n v="0"/>
    <x v="0"/>
  </r>
  <r>
    <n v="36"/>
    <x v="1"/>
    <s v="Travel_Frequently"/>
    <n v="541"/>
    <x v="0"/>
    <n v="3"/>
    <x v="2"/>
    <x v="2"/>
    <n v="1"/>
    <n v="481"/>
    <n v="1"/>
    <x v="1"/>
    <n v="48"/>
    <n v="2"/>
    <n v="3"/>
    <x v="0"/>
    <n v="4"/>
    <x v="1"/>
    <n v="9699"/>
    <n v="7246"/>
    <n v="4"/>
    <s v="Y"/>
    <s v="No"/>
    <n v="11"/>
    <n v="3"/>
    <n v="1"/>
    <n v="80"/>
    <n v="1"/>
    <n v="16"/>
    <n v="2"/>
    <n v="3"/>
    <n v="13"/>
    <n v="9"/>
    <n v="1"/>
    <n v="12"/>
    <n v="0"/>
    <x v="0"/>
  </r>
  <r>
    <n v="57"/>
    <x v="1"/>
    <s v="Travel_Rarely"/>
    <n v="593"/>
    <x v="1"/>
    <n v="1"/>
    <x v="2"/>
    <x v="2"/>
    <n v="1"/>
    <n v="482"/>
    <n v="4"/>
    <x v="1"/>
    <n v="88"/>
    <n v="3"/>
    <n v="2"/>
    <x v="4"/>
    <n v="3"/>
    <x v="1"/>
    <n v="6755"/>
    <n v="2967"/>
    <n v="2"/>
    <s v="Y"/>
    <s v="No"/>
    <n v="11"/>
    <n v="3"/>
    <n v="3"/>
    <n v="80"/>
    <n v="0"/>
    <n v="15"/>
    <n v="2"/>
    <n v="3"/>
    <n v="3"/>
    <n v="2"/>
    <n v="1"/>
    <n v="2"/>
    <n v="0"/>
    <x v="3"/>
  </r>
  <r>
    <n v="40"/>
    <x v="1"/>
    <s v="Travel_Rarely"/>
    <n v="1171"/>
    <x v="1"/>
    <n v="10"/>
    <x v="2"/>
    <x v="0"/>
    <n v="1"/>
    <n v="483"/>
    <n v="4"/>
    <x v="0"/>
    <n v="46"/>
    <n v="4"/>
    <n v="1"/>
    <x v="2"/>
    <n v="3"/>
    <x v="1"/>
    <n v="2213"/>
    <n v="22495"/>
    <n v="3"/>
    <s v="Y"/>
    <s v="Yes"/>
    <n v="13"/>
    <n v="3"/>
    <n v="3"/>
    <n v="80"/>
    <n v="1"/>
    <n v="10"/>
    <n v="3"/>
    <n v="3"/>
    <n v="7"/>
    <n v="7"/>
    <n v="1"/>
    <n v="7"/>
    <n v="0"/>
    <x v="0"/>
  </r>
  <r>
    <n v="21"/>
    <x v="1"/>
    <s v="Non-Travel"/>
    <n v="895"/>
    <x v="0"/>
    <n v="9"/>
    <x v="0"/>
    <x v="2"/>
    <n v="1"/>
    <n v="484"/>
    <n v="1"/>
    <x v="1"/>
    <n v="39"/>
    <n v="3"/>
    <n v="1"/>
    <x v="6"/>
    <n v="4"/>
    <x v="0"/>
    <n v="2610"/>
    <n v="2851"/>
    <n v="1"/>
    <s v="Y"/>
    <s v="No"/>
    <n v="24"/>
    <n v="4"/>
    <n v="3"/>
    <n v="80"/>
    <n v="0"/>
    <n v="3"/>
    <n v="3"/>
    <n v="2"/>
    <n v="3"/>
    <n v="2"/>
    <n v="2"/>
    <n v="2"/>
    <n v="0"/>
    <x v="4"/>
  </r>
  <r>
    <n v="33"/>
    <x v="0"/>
    <s v="Travel_Rarely"/>
    <n v="350"/>
    <x v="0"/>
    <n v="5"/>
    <x v="3"/>
    <x v="3"/>
    <n v="1"/>
    <n v="485"/>
    <n v="4"/>
    <x v="0"/>
    <n v="34"/>
    <n v="3"/>
    <n v="1"/>
    <x v="6"/>
    <n v="3"/>
    <x v="0"/>
    <n v="2851"/>
    <n v="9150"/>
    <n v="1"/>
    <s v="Y"/>
    <s v="Yes"/>
    <n v="13"/>
    <n v="3"/>
    <n v="2"/>
    <n v="80"/>
    <n v="0"/>
    <n v="1"/>
    <n v="2"/>
    <n v="3"/>
    <n v="1"/>
    <n v="0"/>
    <n v="0"/>
    <n v="0"/>
    <n v="1"/>
    <x v="2"/>
  </r>
  <r>
    <n v="37"/>
    <x v="1"/>
    <s v="Travel_Rarely"/>
    <n v="921"/>
    <x v="1"/>
    <n v="10"/>
    <x v="3"/>
    <x v="2"/>
    <n v="1"/>
    <n v="486"/>
    <n v="3"/>
    <x v="0"/>
    <n v="98"/>
    <n v="3"/>
    <n v="1"/>
    <x v="2"/>
    <n v="1"/>
    <x v="1"/>
    <n v="3452"/>
    <n v="17663"/>
    <n v="6"/>
    <s v="Y"/>
    <s v="No"/>
    <n v="20"/>
    <n v="4"/>
    <n v="2"/>
    <n v="80"/>
    <n v="1"/>
    <n v="17"/>
    <n v="3"/>
    <n v="3"/>
    <n v="5"/>
    <n v="4"/>
    <n v="0"/>
    <n v="3"/>
    <n v="0"/>
    <x v="0"/>
  </r>
  <r>
    <n v="46"/>
    <x v="1"/>
    <s v="Non-Travel"/>
    <n v="1144"/>
    <x v="1"/>
    <n v="7"/>
    <x v="2"/>
    <x v="2"/>
    <n v="1"/>
    <n v="487"/>
    <n v="3"/>
    <x v="0"/>
    <n v="30"/>
    <n v="3"/>
    <n v="2"/>
    <x v="3"/>
    <n v="3"/>
    <x v="1"/>
    <n v="5258"/>
    <n v="16044"/>
    <n v="2"/>
    <s v="Y"/>
    <s v="No"/>
    <n v="14"/>
    <n v="3"/>
    <n v="3"/>
    <n v="80"/>
    <n v="0"/>
    <n v="7"/>
    <n v="2"/>
    <n v="4"/>
    <n v="1"/>
    <n v="0"/>
    <n v="0"/>
    <n v="0"/>
    <n v="0"/>
    <x v="1"/>
  </r>
  <r>
    <n v="41"/>
    <x v="0"/>
    <s v="Travel_Frequently"/>
    <n v="143"/>
    <x v="0"/>
    <n v="4"/>
    <x v="3"/>
    <x v="3"/>
    <n v="1"/>
    <n v="488"/>
    <n v="1"/>
    <x v="1"/>
    <n v="56"/>
    <n v="3"/>
    <n v="2"/>
    <x v="0"/>
    <n v="2"/>
    <x v="0"/>
    <n v="9355"/>
    <n v="9558"/>
    <n v="1"/>
    <s v="Y"/>
    <s v="No"/>
    <n v="18"/>
    <n v="3"/>
    <n v="3"/>
    <n v="80"/>
    <n v="0"/>
    <n v="8"/>
    <n v="5"/>
    <n v="3"/>
    <n v="8"/>
    <n v="7"/>
    <n v="7"/>
    <n v="7"/>
    <n v="1"/>
    <x v="0"/>
  </r>
  <r>
    <n v="50"/>
    <x v="1"/>
    <s v="Travel_Rarely"/>
    <n v="1046"/>
    <x v="1"/>
    <n v="10"/>
    <x v="3"/>
    <x v="4"/>
    <n v="1"/>
    <n v="491"/>
    <n v="4"/>
    <x v="1"/>
    <n v="100"/>
    <n v="2"/>
    <n v="3"/>
    <x v="4"/>
    <n v="4"/>
    <x v="0"/>
    <n v="10496"/>
    <n v="2755"/>
    <n v="6"/>
    <s v="Y"/>
    <s v="No"/>
    <n v="15"/>
    <n v="3"/>
    <n v="4"/>
    <n v="80"/>
    <n v="0"/>
    <n v="20"/>
    <n v="2"/>
    <n v="3"/>
    <n v="4"/>
    <n v="3"/>
    <n v="1"/>
    <n v="3"/>
    <n v="0"/>
    <x v="1"/>
  </r>
  <r>
    <n v="40"/>
    <x v="0"/>
    <s v="Travel_Rarely"/>
    <n v="575"/>
    <x v="0"/>
    <n v="22"/>
    <x v="0"/>
    <x v="3"/>
    <n v="1"/>
    <n v="492"/>
    <n v="3"/>
    <x v="1"/>
    <n v="68"/>
    <n v="2"/>
    <n v="2"/>
    <x v="0"/>
    <n v="3"/>
    <x v="1"/>
    <n v="6380"/>
    <n v="6110"/>
    <n v="2"/>
    <s v="Y"/>
    <s v="Yes"/>
    <n v="12"/>
    <n v="3"/>
    <n v="1"/>
    <n v="80"/>
    <n v="2"/>
    <n v="8"/>
    <n v="6"/>
    <n v="3"/>
    <n v="6"/>
    <n v="4"/>
    <n v="1"/>
    <n v="0"/>
    <n v="1"/>
    <x v="0"/>
  </r>
  <r>
    <n v="31"/>
    <x v="1"/>
    <s v="Travel_Rarely"/>
    <n v="408"/>
    <x v="1"/>
    <n v="9"/>
    <x v="2"/>
    <x v="0"/>
    <n v="1"/>
    <n v="493"/>
    <n v="3"/>
    <x v="1"/>
    <n v="42"/>
    <n v="2"/>
    <n v="1"/>
    <x v="1"/>
    <n v="2"/>
    <x v="0"/>
    <n v="2657"/>
    <n v="7551"/>
    <n v="0"/>
    <s v="Y"/>
    <s v="Yes"/>
    <n v="16"/>
    <n v="3"/>
    <n v="4"/>
    <n v="80"/>
    <n v="0"/>
    <n v="3"/>
    <n v="5"/>
    <n v="3"/>
    <n v="2"/>
    <n v="2"/>
    <n v="2"/>
    <n v="2"/>
    <n v="0"/>
    <x v="2"/>
  </r>
  <r>
    <n v="21"/>
    <x v="0"/>
    <s v="Travel_Rarely"/>
    <n v="156"/>
    <x v="0"/>
    <n v="12"/>
    <x v="3"/>
    <x v="0"/>
    <n v="1"/>
    <n v="494"/>
    <n v="3"/>
    <x v="0"/>
    <n v="90"/>
    <n v="4"/>
    <n v="1"/>
    <x v="6"/>
    <n v="2"/>
    <x v="0"/>
    <n v="2716"/>
    <n v="25422"/>
    <n v="1"/>
    <s v="Y"/>
    <s v="No"/>
    <n v="15"/>
    <n v="3"/>
    <n v="4"/>
    <n v="80"/>
    <n v="0"/>
    <n v="1"/>
    <n v="0"/>
    <n v="3"/>
    <n v="1"/>
    <n v="0"/>
    <n v="0"/>
    <n v="0"/>
    <n v="1"/>
    <x v="4"/>
  </r>
  <r>
    <n v="29"/>
    <x v="1"/>
    <s v="Travel_Rarely"/>
    <n v="1283"/>
    <x v="1"/>
    <n v="23"/>
    <x v="3"/>
    <x v="0"/>
    <n v="1"/>
    <n v="495"/>
    <n v="4"/>
    <x v="1"/>
    <n v="54"/>
    <n v="3"/>
    <n v="1"/>
    <x v="1"/>
    <n v="4"/>
    <x v="0"/>
    <n v="2201"/>
    <n v="18168"/>
    <n v="9"/>
    <s v="Y"/>
    <s v="No"/>
    <n v="16"/>
    <n v="3"/>
    <n v="4"/>
    <n v="80"/>
    <n v="0"/>
    <n v="6"/>
    <n v="4"/>
    <n v="3"/>
    <n v="3"/>
    <n v="2"/>
    <n v="1"/>
    <n v="2"/>
    <n v="0"/>
    <x v="2"/>
  </r>
  <r>
    <n v="35"/>
    <x v="1"/>
    <s v="Travel_Rarely"/>
    <n v="755"/>
    <x v="1"/>
    <n v="9"/>
    <x v="2"/>
    <x v="0"/>
    <n v="1"/>
    <n v="496"/>
    <n v="3"/>
    <x v="1"/>
    <n v="97"/>
    <n v="2"/>
    <n v="2"/>
    <x v="4"/>
    <n v="2"/>
    <x v="0"/>
    <n v="6540"/>
    <n v="19394"/>
    <n v="9"/>
    <s v="Y"/>
    <s v="No"/>
    <n v="19"/>
    <n v="3"/>
    <n v="3"/>
    <n v="80"/>
    <n v="0"/>
    <n v="10"/>
    <n v="5"/>
    <n v="3"/>
    <n v="1"/>
    <n v="1"/>
    <n v="0"/>
    <n v="0"/>
    <n v="0"/>
    <x v="0"/>
  </r>
  <r>
    <n v="27"/>
    <x v="1"/>
    <s v="Travel_Rarely"/>
    <n v="1469"/>
    <x v="1"/>
    <n v="1"/>
    <x v="0"/>
    <x v="2"/>
    <n v="1"/>
    <n v="497"/>
    <n v="4"/>
    <x v="1"/>
    <n v="82"/>
    <n v="3"/>
    <n v="1"/>
    <x v="2"/>
    <n v="2"/>
    <x v="2"/>
    <n v="3816"/>
    <n v="17881"/>
    <n v="1"/>
    <s v="Y"/>
    <s v="No"/>
    <n v="11"/>
    <n v="3"/>
    <n v="2"/>
    <n v="80"/>
    <n v="1"/>
    <n v="5"/>
    <n v="2"/>
    <n v="3"/>
    <n v="5"/>
    <n v="2"/>
    <n v="0"/>
    <n v="4"/>
    <n v="0"/>
    <x v="2"/>
  </r>
  <r>
    <n v="28"/>
    <x v="1"/>
    <s v="Travel_Rarely"/>
    <n v="304"/>
    <x v="0"/>
    <n v="9"/>
    <x v="2"/>
    <x v="0"/>
    <n v="1"/>
    <n v="498"/>
    <n v="2"/>
    <x v="1"/>
    <n v="92"/>
    <n v="3"/>
    <n v="2"/>
    <x v="0"/>
    <n v="4"/>
    <x v="0"/>
    <n v="5253"/>
    <n v="20750"/>
    <n v="1"/>
    <s v="Y"/>
    <s v="No"/>
    <n v="16"/>
    <n v="3"/>
    <n v="4"/>
    <n v="80"/>
    <n v="0"/>
    <n v="7"/>
    <n v="1"/>
    <n v="3"/>
    <n v="7"/>
    <n v="5"/>
    <n v="0"/>
    <n v="7"/>
    <n v="0"/>
    <x v="2"/>
  </r>
  <r>
    <n v="49"/>
    <x v="1"/>
    <s v="Travel_Rarely"/>
    <n v="1261"/>
    <x v="1"/>
    <n v="7"/>
    <x v="3"/>
    <x v="1"/>
    <n v="1"/>
    <n v="499"/>
    <n v="2"/>
    <x v="1"/>
    <n v="31"/>
    <n v="2"/>
    <n v="3"/>
    <x v="4"/>
    <n v="3"/>
    <x v="0"/>
    <n v="10965"/>
    <n v="12066"/>
    <n v="8"/>
    <s v="Y"/>
    <s v="No"/>
    <n v="24"/>
    <n v="4"/>
    <n v="3"/>
    <n v="80"/>
    <n v="0"/>
    <n v="26"/>
    <n v="2"/>
    <n v="3"/>
    <n v="5"/>
    <n v="2"/>
    <n v="0"/>
    <n v="0"/>
    <n v="0"/>
    <x v="1"/>
  </r>
  <r>
    <n v="51"/>
    <x v="1"/>
    <s v="Travel_Rarely"/>
    <n v="1178"/>
    <x v="0"/>
    <n v="14"/>
    <x v="0"/>
    <x v="0"/>
    <n v="1"/>
    <n v="500"/>
    <n v="3"/>
    <x v="0"/>
    <n v="87"/>
    <n v="3"/>
    <n v="2"/>
    <x v="0"/>
    <n v="4"/>
    <x v="1"/>
    <n v="4936"/>
    <n v="14862"/>
    <n v="4"/>
    <s v="Y"/>
    <s v="No"/>
    <n v="11"/>
    <n v="3"/>
    <n v="3"/>
    <n v="80"/>
    <n v="1"/>
    <n v="18"/>
    <n v="2"/>
    <n v="2"/>
    <n v="7"/>
    <n v="7"/>
    <n v="0"/>
    <n v="7"/>
    <n v="0"/>
    <x v="1"/>
  </r>
  <r>
    <n v="36"/>
    <x v="1"/>
    <s v="Travel_Rarely"/>
    <n v="329"/>
    <x v="1"/>
    <n v="2"/>
    <x v="3"/>
    <x v="0"/>
    <n v="1"/>
    <n v="501"/>
    <n v="4"/>
    <x v="0"/>
    <n v="96"/>
    <n v="3"/>
    <n v="1"/>
    <x v="1"/>
    <n v="3"/>
    <x v="1"/>
    <n v="2543"/>
    <n v="11868"/>
    <n v="4"/>
    <s v="Y"/>
    <s v="No"/>
    <n v="13"/>
    <n v="3"/>
    <n v="2"/>
    <n v="80"/>
    <n v="1"/>
    <n v="6"/>
    <n v="3"/>
    <n v="3"/>
    <n v="2"/>
    <n v="2"/>
    <n v="2"/>
    <n v="2"/>
    <n v="0"/>
    <x v="0"/>
  </r>
  <r>
    <n v="34"/>
    <x v="0"/>
    <s v="Non-Travel"/>
    <n v="1362"/>
    <x v="0"/>
    <n v="19"/>
    <x v="3"/>
    <x v="3"/>
    <n v="1"/>
    <n v="502"/>
    <n v="1"/>
    <x v="1"/>
    <n v="67"/>
    <n v="4"/>
    <n v="2"/>
    <x v="0"/>
    <n v="4"/>
    <x v="0"/>
    <n v="5304"/>
    <n v="4652"/>
    <n v="8"/>
    <s v="Y"/>
    <s v="Yes"/>
    <n v="13"/>
    <n v="3"/>
    <n v="2"/>
    <n v="80"/>
    <n v="0"/>
    <n v="9"/>
    <n v="3"/>
    <n v="2"/>
    <n v="5"/>
    <n v="2"/>
    <n v="0"/>
    <n v="4"/>
    <n v="1"/>
    <x v="2"/>
  </r>
  <r>
    <n v="55"/>
    <x v="1"/>
    <s v="Travel_Rarely"/>
    <n v="1311"/>
    <x v="1"/>
    <n v="2"/>
    <x v="3"/>
    <x v="0"/>
    <n v="1"/>
    <n v="505"/>
    <n v="3"/>
    <x v="0"/>
    <n v="97"/>
    <n v="3"/>
    <n v="4"/>
    <x v="5"/>
    <n v="4"/>
    <x v="0"/>
    <n v="16659"/>
    <n v="23258"/>
    <n v="2"/>
    <s v="Y"/>
    <s v="Yes"/>
    <n v="13"/>
    <n v="3"/>
    <n v="3"/>
    <n v="80"/>
    <n v="0"/>
    <n v="30"/>
    <n v="2"/>
    <n v="3"/>
    <n v="5"/>
    <n v="4"/>
    <n v="1"/>
    <n v="2"/>
    <n v="0"/>
    <x v="3"/>
  </r>
  <r>
    <n v="24"/>
    <x v="1"/>
    <s v="Travel_Rarely"/>
    <n v="1371"/>
    <x v="0"/>
    <n v="10"/>
    <x v="2"/>
    <x v="3"/>
    <n v="1"/>
    <n v="507"/>
    <n v="4"/>
    <x v="0"/>
    <n v="77"/>
    <n v="3"/>
    <n v="2"/>
    <x v="0"/>
    <n v="3"/>
    <x v="2"/>
    <n v="4260"/>
    <n v="5915"/>
    <n v="1"/>
    <s v="Y"/>
    <s v="Yes"/>
    <n v="12"/>
    <n v="3"/>
    <n v="4"/>
    <n v="80"/>
    <n v="1"/>
    <n v="5"/>
    <n v="2"/>
    <n v="4"/>
    <n v="5"/>
    <n v="2"/>
    <n v="0"/>
    <n v="3"/>
    <n v="0"/>
    <x v="4"/>
  </r>
  <r>
    <n v="30"/>
    <x v="1"/>
    <s v="Travel_Rarely"/>
    <n v="202"/>
    <x v="0"/>
    <n v="2"/>
    <x v="1"/>
    <x v="4"/>
    <n v="1"/>
    <n v="508"/>
    <n v="3"/>
    <x v="1"/>
    <n v="72"/>
    <n v="3"/>
    <n v="1"/>
    <x v="6"/>
    <n v="2"/>
    <x v="1"/>
    <n v="2476"/>
    <n v="17434"/>
    <n v="1"/>
    <s v="Y"/>
    <s v="No"/>
    <n v="18"/>
    <n v="3"/>
    <n v="1"/>
    <n v="80"/>
    <n v="1"/>
    <n v="1"/>
    <n v="3"/>
    <n v="3"/>
    <n v="1"/>
    <n v="0"/>
    <n v="0"/>
    <n v="0"/>
    <n v="0"/>
    <x v="2"/>
  </r>
  <r>
    <n v="26"/>
    <x v="0"/>
    <s v="Travel_Frequently"/>
    <n v="575"/>
    <x v="1"/>
    <n v="3"/>
    <x v="1"/>
    <x v="4"/>
    <n v="1"/>
    <n v="510"/>
    <n v="3"/>
    <x v="1"/>
    <n v="73"/>
    <n v="3"/>
    <n v="1"/>
    <x v="1"/>
    <n v="1"/>
    <x v="0"/>
    <n v="3102"/>
    <n v="6582"/>
    <n v="0"/>
    <s v="Y"/>
    <s v="No"/>
    <n v="22"/>
    <n v="4"/>
    <n v="3"/>
    <n v="80"/>
    <n v="0"/>
    <n v="7"/>
    <n v="2"/>
    <n v="3"/>
    <n v="6"/>
    <n v="4"/>
    <n v="0"/>
    <n v="4"/>
    <n v="1"/>
    <x v="2"/>
  </r>
  <r>
    <n v="22"/>
    <x v="1"/>
    <s v="Travel_Rarely"/>
    <n v="253"/>
    <x v="1"/>
    <n v="11"/>
    <x v="3"/>
    <x v="2"/>
    <n v="1"/>
    <n v="511"/>
    <n v="1"/>
    <x v="0"/>
    <n v="43"/>
    <n v="3"/>
    <n v="1"/>
    <x v="1"/>
    <n v="2"/>
    <x v="1"/>
    <n v="2244"/>
    <n v="24440"/>
    <n v="1"/>
    <s v="Y"/>
    <s v="No"/>
    <n v="13"/>
    <n v="3"/>
    <n v="4"/>
    <n v="80"/>
    <n v="1"/>
    <n v="2"/>
    <n v="1"/>
    <n v="3"/>
    <n v="2"/>
    <n v="1"/>
    <n v="1"/>
    <n v="2"/>
    <n v="0"/>
    <x v="4"/>
  </r>
  <r>
    <n v="36"/>
    <x v="1"/>
    <s v="Travel_Rarely"/>
    <n v="164"/>
    <x v="0"/>
    <n v="2"/>
    <x v="0"/>
    <x v="2"/>
    <n v="1"/>
    <n v="513"/>
    <n v="2"/>
    <x v="1"/>
    <n v="61"/>
    <n v="2"/>
    <n v="3"/>
    <x v="0"/>
    <n v="3"/>
    <x v="1"/>
    <n v="7596"/>
    <n v="3809"/>
    <n v="1"/>
    <s v="Y"/>
    <s v="No"/>
    <n v="13"/>
    <n v="3"/>
    <n v="2"/>
    <n v="80"/>
    <n v="2"/>
    <n v="10"/>
    <n v="2"/>
    <n v="3"/>
    <n v="10"/>
    <n v="9"/>
    <n v="9"/>
    <n v="0"/>
    <n v="0"/>
    <x v="0"/>
  </r>
  <r>
    <n v="30"/>
    <x v="0"/>
    <s v="Travel_Frequently"/>
    <n v="464"/>
    <x v="1"/>
    <n v="4"/>
    <x v="3"/>
    <x v="4"/>
    <n v="1"/>
    <n v="514"/>
    <n v="3"/>
    <x v="1"/>
    <n v="40"/>
    <n v="3"/>
    <n v="1"/>
    <x v="1"/>
    <n v="4"/>
    <x v="0"/>
    <n v="2285"/>
    <n v="3427"/>
    <n v="9"/>
    <s v="Y"/>
    <s v="Yes"/>
    <n v="23"/>
    <n v="4"/>
    <n v="3"/>
    <n v="80"/>
    <n v="0"/>
    <n v="3"/>
    <n v="4"/>
    <n v="3"/>
    <n v="1"/>
    <n v="0"/>
    <n v="0"/>
    <n v="0"/>
    <n v="1"/>
    <x v="2"/>
  </r>
  <r>
    <n v="37"/>
    <x v="1"/>
    <s v="Travel_Rarely"/>
    <n v="1107"/>
    <x v="1"/>
    <n v="14"/>
    <x v="3"/>
    <x v="0"/>
    <n v="1"/>
    <n v="515"/>
    <n v="4"/>
    <x v="0"/>
    <n v="95"/>
    <n v="3"/>
    <n v="1"/>
    <x v="2"/>
    <n v="1"/>
    <x v="2"/>
    <n v="3034"/>
    <n v="26914"/>
    <n v="1"/>
    <s v="Y"/>
    <s v="No"/>
    <n v="12"/>
    <n v="3"/>
    <n v="3"/>
    <n v="80"/>
    <n v="1"/>
    <n v="18"/>
    <n v="2"/>
    <n v="2"/>
    <n v="18"/>
    <n v="7"/>
    <n v="12"/>
    <n v="17"/>
    <n v="0"/>
    <x v="0"/>
  </r>
  <r>
    <n v="40"/>
    <x v="1"/>
    <s v="Travel_Rarely"/>
    <n v="759"/>
    <x v="0"/>
    <n v="2"/>
    <x v="0"/>
    <x v="3"/>
    <n v="1"/>
    <n v="516"/>
    <n v="4"/>
    <x v="0"/>
    <n v="46"/>
    <n v="3"/>
    <n v="2"/>
    <x v="0"/>
    <n v="2"/>
    <x v="2"/>
    <n v="5715"/>
    <n v="22553"/>
    <n v="7"/>
    <s v="Y"/>
    <s v="No"/>
    <n v="12"/>
    <n v="3"/>
    <n v="3"/>
    <n v="80"/>
    <n v="2"/>
    <n v="8"/>
    <n v="5"/>
    <n v="3"/>
    <n v="5"/>
    <n v="4"/>
    <n v="1"/>
    <n v="3"/>
    <n v="0"/>
    <x v="0"/>
  </r>
  <r>
    <n v="42"/>
    <x v="1"/>
    <s v="Travel_Rarely"/>
    <n v="201"/>
    <x v="1"/>
    <n v="1"/>
    <x v="2"/>
    <x v="0"/>
    <n v="1"/>
    <n v="517"/>
    <n v="2"/>
    <x v="0"/>
    <n v="95"/>
    <n v="3"/>
    <n v="1"/>
    <x v="2"/>
    <n v="1"/>
    <x v="2"/>
    <n v="2576"/>
    <n v="20490"/>
    <n v="3"/>
    <s v="Y"/>
    <s v="No"/>
    <n v="16"/>
    <n v="3"/>
    <n v="2"/>
    <n v="80"/>
    <n v="1"/>
    <n v="8"/>
    <n v="5"/>
    <n v="3"/>
    <n v="5"/>
    <n v="2"/>
    <n v="1"/>
    <n v="2"/>
    <n v="0"/>
    <x v="0"/>
  </r>
  <r>
    <n v="37"/>
    <x v="1"/>
    <s v="Travel_Rarely"/>
    <n v="1305"/>
    <x v="1"/>
    <n v="10"/>
    <x v="2"/>
    <x v="0"/>
    <n v="1"/>
    <n v="518"/>
    <n v="3"/>
    <x v="1"/>
    <n v="49"/>
    <n v="3"/>
    <n v="2"/>
    <x v="3"/>
    <n v="2"/>
    <x v="0"/>
    <n v="4197"/>
    <n v="21123"/>
    <n v="2"/>
    <s v="Y"/>
    <s v="Yes"/>
    <n v="12"/>
    <n v="3"/>
    <n v="4"/>
    <n v="80"/>
    <n v="0"/>
    <n v="18"/>
    <n v="2"/>
    <n v="2"/>
    <n v="1"/>
    <n v="0"/>
    <n v="0"/>
    <n v="1"/>
    <n v="0"/>
    <x v="0"/>
  </r>
  <r>
    <n v="43"/>
    <x v="1"/>
    <s v="Travel_Rarely"/>
    <n v="982"/>
    <x v="1"/>
    <n v="12"/>
    <x v="3"/>
    <x v="0"/>
    <n v="1"/>
    <n v="520"/>
    <n v="1"/>
    <x v="1"/>
    <n v="59"/>
    <n v="2"/>
    <n v="4"/>
    <x v="7"/>
    <n v="2"/>
    <x v="2"/>
    <n v="14336"/>
    <n v="4345"/>
    <n v="1"/>
    <s v="Y"/>
    <s v="No"/>
    <n v="11"/>
    <n v="3"/>
    <n v="3"/>
    <n v="80"/>
    <n v="1"/>
    <n v="25"/>
    <n v="3"/>
    <n v="3"/>
    <n v="25"/>
    <n v="10"/>
    <n v="3"/>
    <n v="9"/>
    <n v="0"/>
    <x v="0"/>
  </r>
  <r>
    <n v="40"/>
    <x v="1"/>
    <s v="Travel_Rarely"/>
    <n v="555"/>
    <x v="1"/>
    <n v="2"/>
    <x v="3"/>
    <x v="2"/>
    <n v="1"/>
    <n v="521"/>
    <n v="2"/>
    <x v="0"/>
    <n v="78"/>
    <n v="2"/>
    <n v="2"/>
    <x v="2"/>
    <n v="3"/>
    <x v="1"/>
    <n v="3448"/>
    <n v="13436"/>
    <n v="6"/>
    <s v="Y"/>
    <s v="No"/>
    <n v="22"/>
    <n v="4"/>
    <n v="2"/>
    <n v="80"/>
    <n v="1"/>
    <n v="20"/>
    <n v="3"/>
    <n v="3"/>
    <n v="1"/>
    <n v="0"/>
    <n v="0"/>
    <n v="0"/>
    <n v="0"/>
    <x v="0"/>
  </r>
  <r>
    <n v="54"/>
    <x v="1"/>
    <s v="Travel_Rarely"/>
    <n v="821"/>
    <x v="1"/>
    <n v="5"/>
    <x v="0"/>
    <x v="2"/>
    <n v="1"/>
    <n v="522"/>
    <n v="1"/>
    <x v="1"/>
    <n v="86"/>
    <n v="3"/>
    <n v="5"/>
    <x v="7"/>
    <n v="1"/>
    <x v="1"/>
    <n v="19406"/>
    <n v="8509"/>
    <n v="4"/>
    <s v="Y"/>
    <s v="No"/>
    <n v="11"/>
    <n v="3"/>
    <n v="3"/>
    <n v="80"/>
    <n v="1"/>
    <n v="24"/>
    <n v="4"/>
    <n v="2"/>
    <n v="4"/>
    <n v="2"/>
    <n v="1"/>
    <n v="2"/>
    <n v="0"/>
    <x v="1"/>
  </r>
  <r>
    <n v="34"/>
    <x v="1"/>
    <s v="Non-Travel"/>
    <n v="1381"/>
    <x v="0"/>
    <n v="4"/>
    <x v="2"/>
    <x v="3"/>
    <n v="1"/>
    <n v="523"/>
    <n v="3"/>
    <x v="0"/>
    <n v="72"/>
    <n v="3"/>
    <n v="2"/>
    <x v="0"/>
    <n v="3"/>
    <x v="1"/>
    <n v="6538"/>
    <n v="12740"/>
    <n v="9"/>
    <s v="Y"/>
    <s v="No"/>
    <n v="15"/>
    <n v="3"/>
    <n v="1"/>
    <n v="80"/>
    <n v="1"/>
    <n v="6"/>
    <n v="3"/>
    <n v="3"/>
    <n v="3"/>
    <n v="2"/>
    <n v="1"/>
    <n v="2"/>
    <n v="0"/>
    <x v="2"/>
  </r>
  <r>
    <n v="31"/>
    <x v="1"/>
    <s v="Travel_Rarely"/>
    <n v="480"/>
    <x v="1"/>
    <n v="7"/>
    <x v="0"/>
    <x v="2"/>
    <n v="1"/>
    <n v="524"/>
    <n v="2"/>
    <x v="0"/>
    <n v="31"/>
    <n v="3"/>
    <n v="2"/>
    <x v="3"/>
    <n v="1"/>
    <x v="1"/>
    <n v="4306"/>
    <n v="4156"/>
    <n v="1"/>
    <s v="Y"/>
    <s v="No"/>
    <n v="12"/>
    <n v="3"/>
    <n v="2"/>
    <n v="80"/>
    <n v="1"/>
    <n v="13"/>
    <n v="5"/>
    <n v="1"/>
    <n v="13"/>
    <n v="10"/>
    <n v="3"/>
    <n v="12"/>
    <n v="0"/>
    <x v="2"/>
  </r>
  <r>
    <n v="43"/>
    <x v="1"/>
    <s v="Travel_Frequently"/>
    <n v="313"/>
    <x v="1"/>
    <n v="21"/>
    <x v="3"/>
    <x v="2"/>
    <n v="1"/>
    <n v="525"/>
    <n v="4"/>
    <x v="1"/>
    <n v="61"/>
    <n v="3"/>
    <n v="1"/>
    <x v="2"/>
    <n v="4"/>
    <x v="1"/>
    <n v="2258"/>
    <n v="15238"/>
    <n v="7"/>
    <s v="Y"/>
    <s v="No"/>
    <n v="20"/>
    <n v="4"/>
    <n v="1"/>
    <n v="80"/>
    <n v="1"/>
    <n v="8"/>
    <n v="1"/>
    <n v="3"/>
    <n v="3"/>
    <n v="2"/>
    <n v="1"/>
    <n v="2"/>
    <n v="0"/>
    <x v="0"/>
  </r>
  <r>
    <n v="43"/>
    <x v="1"/>
    <s v="Travel_Rarely"/>
    <n v="1473"/>
    <x v="1"/>
    <n v="8"/>
    <x v="2"/>
    <x v="1"/>
    <n v="1"/>
    <n v="526"/>
    <n v="3"/>
    <x v="0"/>
    <n v="74"/>
    <n v="3"/>
    <n v="2"/>
    <x v="4"/>
    <n v="3"/>
    <x v="2"/>
    <n v="4522"/>
    <n v="2227"/>
    <n v="4"/>
    <s v="Y"/>
    <s v="Yes"/>
    <n v="14"/>
    <n v="3"/>
    <n v="4"/>
    <n v="80"/>
    <n v="0"/>
    <n v="8"/>
    <n v="3"/>
    <n v="3"/>
    <n v="5"/>
    <n v="2"/>
    <n v="0"/>
    <n v="2"/>
    <n v="0"/>
    <x v="0"/>
  </r>
  <r>
    <n v="25"/>
    <x v="1"/>
    <s v="Travel_Rarely"/>
    <n v="891"/>
    <x v="0"/>
    <n v="4"/>
    <x v="0"/>
    <x v="0"/>
    <n v="1"/>
    <n v="527"/>
    <n v="2"/>
    <x v="0"/>
    <n v="99"/>
    <n v="2"/>
    <n v="2"/>
    <x v="0"/>
    <n v="4"/>
    <x v="0"/>
    <n v="4487"/>
    <n v="12090"/>
    <n v="1"/>
    <s v="Y"/>
    <s v="Yes"/>
    <n v="11"/>
    <n v="3"/>
    <n v="2"/>
    <n v="80"/>
    <n v="0"/>
    <n v="5"/>
    <n v="3"/>
    <n v="3"/>
    <n v="5"/>
    <n v="4"/>
    <n v="1"/>
    <n v="3"/>
    <n v="0"/>
    <x v="2"/>
  </r>
  <r>
    <n v="37"/>
    <x v="1"/>
    <s v="Non-Travel"/>
    <n v="1063"/>
    <x v="1"/>
    <n v="25"/>
    <x v="4"/>
    <x v="2"/>
    <n v="1"/>
    <n v="529"/>
    <n v="2"/>
    <x v="0"/>
    <n v="72"/>
    <n v="3"/>
    <n v="2"/>
    <x v="1"/>
    <n v="3"/>
    <x v="1"/>
    <n v="4449"/>
    <n v="23866"/>
    <n v="3"/>
    <s v="Y"/>
    <s v="Yes"/>
    <n v="15"/>
    <n v="3"/>
    <n v="1"/>
    <n v="80"/>
    <n v="2"/>
    <n v="15"/>
    <n v="2"/>
    <n v="3"/>
    <n v="13"/>
    <n v="11"/>
    <n v="10"/>
    <n v="7"/>
    <n v="0"/>
    <x v="0"/>
  </r>
  <r>
    <n v="31"/>
    <x v="1"/>
    <s v="Travel_Rarely"/>
    <n v="329"/>
    <x v="1"/>
    <n v="1"/>
    <x v="0"/>
    <x v="0"/>
    <n v="1"/>
    <n v="530"/>
    <n v="4"/>
    <x v="1"/>
    <n v="98"/>
    <n v="2"/>
    <n v="1"/>
    <x v="2"/>
    <n v="1"/>
    <x v="1"/>
    <n v="2218"/>
    <n v="16193"/>
    <n v="1"/>
    <s v="Y"/>
    <s v="No"/>
    <n v="12"/>
    <n v="3"/>
    <n v="3"/>
    <n v="80"/>
    <n v="1"/>
    <n v="4"/>
    <n v="3"/>
    <n v="3"/>
    <n v="4"/>
    <n v="2"/>
    <n v="3"/>
    <n v="2"/>
    <n v="0"/>
    <x v="2"/>
  </r>
  <r>
    <n v="39"/>
    <x v="1"/>
    <s v="Travel_Frequently"/>
    <n v="1218"/>
    <x v="1"/>
    <n v="1"/>
    <x v="1"/>
    <x v="0"/>
    <n v="1"/>
    <n v="531"/>
    <n v="2"/>
    <x v="1"/>
    <n v="52"/>
    <n v="3"/>
    <n v="5"/>
    <x v="5"/>
    <n v="3"/>
    <x v="2"/>
    <n v="19197"/>
    <n v="8213"/>
    <n v="1"/>
    <s v="Y"/>
    <s v="Yes"/>
    <n v="14"/>
    <n v="3"/>
    <n v="3"/>
    <n v="80"/>
    <n v="1"/>
    <n v="21"/>
    <n v="3"/>
    <n v="3"/>
    <n v="21"/>
    <n v="8"/>
    <n v="1"/>
    <n v="6"/>
    <n v="0"/>
    <x v="0"/>
  </r>
  <r>
    <n v="56"/>
    <x v="1"/>
    <s v="Travel_Frequently"/>
    <n v="906"/>
    <x v="0"/>
    <n v="6"/>
    <x v="3"/>
    <x v="0"/>
    <n v="1"/>
    <n v="532"/>
    <n v="3"/>
    <x v="0"/>
    <n v="86"/>
    <n v="4"/>
    <n v="4"/>
    <x v="0"/>
    <n v="1"/>
    <x v="1"/>
    <n v="13212"/>
    <n v="18256"/>
    <n v="9"/>
    <s v="Y"/>
    <s v="No"/>
    <n v="11"/>
    <n v="3"/>
    <n v="4"/>
    <n v="80"/>
    <n v="3"/>
    <n v="36"/>
    <n v="0"/>
    <n v="2"/>
    <n v="7"/>
    <n v="7"/>
    <n v="7"/>
    <n v="7"/>
    <n v="0"/>
    <x v="3"/>
  </r>
  <r>
    <n v="30"/>
    <x v="1"/>
    <s v="Travel_Rarely"/>
    <n v="1082"/>
    <x v="0"/>
    <n v="12"/>
    <x v="3"/>
    <x v="4"/>
    <n v="1"/>
    <n v="533"/>
    <n v="2"/>
    <x v="0"/>
    <n v="83"/>
    <n v="3"/>
    <n v="2"/>
    <x v="0"/>
    <n v="3"/>
    <x v="0"/>
    <n v="6577"/>
    <n v="19558"/>
    <n v="0"/>
    <s v="Y"/>
    <s v="No"/>
    <n v="11"/>
    <n v="3"/>
    <n v="2"/>
    <n v="80"/>
    <n v="0"/>
    <n v="6"/>
    <n v="6"/>
    <n v="3"/>
    <n v="5"/>
    <n v="4"/>
    <n v="4"/>
    <n v="4"/>
    <n v="0"/>
    <x v="2"/>
  </r>
  <r>
    <n v="41"/>
    <x v="1"/>
    <s v="Travel_Rarely"/>
    <n v="645"/>
    <x v="0"/>
    <n v="1"/>
    <x v="3"/>
    <x v="3"/>
    <n v="1"/>
    <n v="534"/>
    <n v="2"/>
    <x v="1"/>
    <n v="49"/>
    <n v="4"/>
    <n v="3"/>
    <x v="0"/>
    <n v="1"/>
    <x v="1"/>
    <n v="8392"/>
    <n v="19566"/>
    <n v="1"/>
    <s v="Y"/>
    <s v="No"/>
    <n v="16"/>
    <n v="3"/>
    <n v="3"/>
    <n v="80"/>
    <n v="1"/>
    <n v="10"/>
    <n v="2"/>
    <n v="3"/>
    <n v="10"/>
    <n v="7"/>
    <n v="0"/>
    <n v="7"/>
    <n v="0"/>
    <x v="0"/>
  </r>
  <r>
    <n v="28"/>
    <x v="1"/>
    <s v="Travel_Rarely"/>
    <n v="1300"/>
    <x v="1"/>
    <n v="17"/>
    <x v="0"/>
    <x v="2"/>
    <n v="1"/>
    <n v="536"/>
    <n v="3"/>
    <x v="1"/>
    <n v="79"/>
    <n v="3"/>
    <n v="2"/>
    <x v="2"/>
    <n v="1"/>
    <x v="2"/>
    <n v="4558"/>
    <n v="13535"/>
    <n v="1"/>
    <s v="Y"/>
    <s v="No"/>
    <n v="12"/>
    <n v="3"/>
    <n v="4"/>
    <n v="80"/>
    <n v="1"/>
    <n v="10"/>
    <n v="2"/>
    <n v="3"/>
    <n v="10"/>
    <n v="0"/>
    <n v="1"/>
    <n v="8"/>
    <n v="0"/>
    <x v="2"/>
  </r>
  <r>
    <n v="25"/>
    <x v="0"/>
    <s v="Travel_Rarely"/>
    <n v="688"/>
    <x v="1"/>
    <n v="3"/>
    <x v="3"/>
    <x v="2"/>
    <n v="1"/>
    <n v="538"/>
    <n v="1"/>
    <x v="1"/>
    <n v="91"/>
    <n v="3"/>
    <n v="1"/>
    <x v="2"/>
    <n v="1"/>
    <x v="1"/>
    <n v="4031"/>
    <n v="9396"/>
    <n v="5"/>
    <s v="Y"/>
    <s v="No"/>
    <n v="13"/>
    <n v="3"/>
    <n v="3"/>
    <n v="80"/>
    <n v="1"/>
    <n v="6"/>
    <n v="5"/>
    <n v="3"/>
    <n v="2"/>
    <n v="2"/>
    <n v="0"/>
    <n v="2"/>
    <n v="1"/>
    <x v="2"/>
  </r>
  <r>
    <n v="52"/>
    <x v="1"/>
    <s v="Travel_Rarely"/>
    <n v="319"/>
    <x v="1"/>
    <n v="3"/>
    <x v="3"/>
    <x v="2"/>
    <n v="1"/>
    <n v="543"/>
    <n v="4"/>
    <x v="1"/>
    <n v="39"/>
    <n v="2"/>
    <n v="3"/>
    <x v="3"/>
    <n v="3"/>
    <x v="1"/>
    <n v="7969"/>
    <n v="19609"/>
    <n v="2"/>
    <s v="Y"/>
    <s v="Yes"/>
    <n v="14"/>
    <n v="3"/>
    <n v="3"/>
    <n v="80"/>
    <n v="0"/>
    <n v="28"/>
    <n v="4"/>
    <n v="3"/>
    <n v="5"/>
    <n v="4"/>
    <n v="0"/>
    <n v="4"/>
    <n v="0"/>
    <x v="1"/>
  </r>
  <r>
    <n v="45"/>
    <x v="1"/>
    <s v="Travel_Rarely"/>
    <n v="192"/>
    <x v="1"/>
    <n v="10"/>
    <x v="0"/>
    <x v="0"/>
    <n v="1"/>
    <n v="544"/>
    <n v="1"/>
    <x v="1"/>
    <n v="69"/>
    <n v="3"/>
    <n v="1"/>
    <x v="1"/>
    <n v="4"/>
    <x v="1"/>
    <n v="2654"/>
    <n v="9655"/>
    <n v="3"/>
    <s v="Y"/>
    <s v="No"/>
    <n v="21"/>
    <n v="4"/>
    <n v="4"/>
    <n v="80"/>
    <n v="2"/>
    <n v="8"/>
    <n v="3"/>
    <n v="2"/>
    <n v="2"/>
    <n v="2"/>
    <n v="0"/>
    <n v="2"/>
    <n v="0"/>
    <x v="1"/>
  </r>
  <r>
    <n v="52"/>
    <x v="1"/>
    <s v="Travel_Rarely"/>
    <n v="1490"/>
    <x v="1"/>
    <n v="4"/>
    <x v="0"/>
    <x v="0"/>
    <n v="1"/>
    <n v="546"/>
    <n v="4"/>
    <x v="0"/>
    <n v="30"/>
    <n v="3"/>
    <n v="4"/>
    <x v="5"/>
    <n v="4"/>
    <x v="1"/>
    <n v="16555"/>
    <n v="10310"/>
    <n v="2"/>
    <s v="Y"/>
    <s v="No"/>
    <n v="13"/>
    <n v="3"/>
    <n v="4"/>
    <n v="80"/>
    <n v="0"/>
    <n v="31"/>
    <n v="2"/>
    <n v="1"/>
    <n v="5"/>
    <n v="2"/>
    <n v="1"/>
    <n v="4"/>
    <n v="0"/>
    <x v="1"/>
  </r>
  <r>
    <n v="42"/>
    <x v="1"/>
    <s v="Travel_Frequently"/>
    <n v="532"/>
    <x v="1"/>
    <n v="29"/>
    <x v="0"/>
    <x v="0"/>
    <n v="1"/>
    <n v="547"/>
    <n v="1"/>
    <x v="0"/>
    <n v="92"/>
    <n v="3"/>
    <n v="2"/>
    <x v="1"/>
    <n v="3"/>
    <x v="2"/>
    <n v="4556"/>
    <n v="12932"/>
    <n v="2"/>
    <s v="Y"/>
    <s v="No"/>
    <n v="11"/>
    <n v="3"/>
    <n v="2"/>
    <n v="80"/>
    <n v="1"/>
    <n v="19"/>
    <n v="3"/>
    <n v="3"/>
    <n v="5"/>
    <n v="4"/>
    <n v="0"/>
    <n v="2"/>
    <n v="0"/>
    <x v="0"/>
  </r>
  <r>
    <n v="30"/>
    <x v="1"/>
    <s v="Travel_Rarely"/>
    <n v="317"/>
    <x v="1"/>
    <n v="2"/>
    <x v="3"/>
    <x v="0"/>
    <n v="1"/>
    <n v="548"/>
    <n v="3"/>
    <x v="0"/>
    <n v="43"/>
    <n v="1"/>
    <n v="2"/>
    <x v="3"/>
    <n v="4"/>
    <x v="0"/>
    <n v="6091"/>
    <n v="24793"/>
    <n v="2"/>
    <s v="Y"/>
    <s v="No"/>
    <n v="20"/>
    <n v="4"/>
    <n v="3"/>
    <n v="80"/>
    <n v="0"/>
    <n v="11"/>
    <n v="2"/>
    <n v="3"/>
    <n v="5"/>
    <n v="4"/>
    <n v="0"/>
    <n v="2"/>
    <n v="0"/>
    <x v="2"/>
  </r>
  <r>
    <n v="60"/>
    <x v="1"/>
    <s v="Travel_Rarely"/>
    <n v="422"/>
    <x v="1"/>
    <n v="7"/>
    <x v="3"/>
    <x v="0"/>
    <n v="1"/>
    <n v="549"/>
    <n v="1"/>
    <x v="0"/>
    <n v="41"/>
    <n v="3"/>
    <n v="5"/>
    <x v="5"/>
    <n v="1"/>
    <x v="1"/>
    <n v="19566"/>
    <n v="3854"/>
    <n v="5"/>
    <s v="Y"/>
    <s v="No"/>
    <n v="11"/>
    <n v="3"/>
    <n v="4"/>
    <n v="80"/>
    <n v="0"/>
    <n v="33"/>
    <n v="5"/>
    <n v="1"/>
    <n v="29"/>
    <n v="8"/>
    <n v="11"/>
    <n v="10"/>
    <n v="0"/>
    <x v="3"/>
  </r>
  <r>
    <n v="46"/>
    <x v="1"/>
    <s v="Travel_Rarely"/>
    <n v="1485"/>
    <x v="1"/>
    <n v="18"/>
    <x v="3"/>
    <x v="2"/>
    <n v="1"/>
    <n v="550"/>
    <n v="3"/>
    <x v="0"/>
    <n v="87"/>
    <n v="3"/>
    <n v="2"/>
    <x v="3"/>
    <n v="3"/>
    <x v="2"/>
    <n v="4810"/>
    <n v="26314"/>
    <n v="2"/>
    <s v="Y"/>
    <s v="No"/>
    <n v="14"/>
    <n v="3"/>
    <n v="3"/>
    <n v="80"/>
    <n v="1"/>
    <n v="19"/>
    <n v="5"/>
    <n v="2"/>
    <n v="10"/>
    <n v="7"/>
    <n v="0"/>
    <n v="8"/>
    <n v="0"/>
    <x v="1"/>
  </r>
  <r>
    <n v="42"/>
    <x v="1"/>
    <s v="Travel_Frequently"/>
    <n v="1368"/>
    <x v="1"/>
    <n v="28"/>
    <x v="2"/>
    <x v="4"/>
    <n v="1"/>
    <n v="551"/>
    <n v="4"/>
    <x v="0"/>
    <n v="88"/>
    <n v="2"/>
    <n v="2"/>
    <x v="4"/>
    <n v="4"/>
    <x v="1"/>
    <n v="4523"/>
    <n v="4386"/>
    <n v="0"/>
    <s v="Y"/>
    <s v="No"/>
    <n v="11"/>
    <n v="3"/>
    <n v="4"/>
    <n v="80"/>
    <n v="3"/>
    <n v="7"/>
    <n v="4"/>
    <n v="4"/>
    <n v="6"/>
    <n v="5"/>
    <n v="0"/>
    <n v="4"/>
    <n v="0"/>
    <x v="0"/>
  </r>
  <r>
    <n v="24"/>
    <x v="0"/>
    <s v="Travel_Rarely"/>
    <n v="1448"/>
    <x v="0"/>
    <n v="1"/>
    <x v="1"/>
    <x v="4"/>
    <n v="1"/>
    <n v="554"/>
    <n v="1"/>
    <x v="0"/>
    <n v="62"/>
    <n v="3"/>
    <n v="1"/>
    <x v="6"/>
    <n v="2"/>
    <x v="0"/>
    <n v="3202"/>
    <n v="21972"/>
    <n v="1"/>
    <s v="Y"/>
    <s v="Yes"/>
    <n v="16"/>
    <n v="3"/>
    <n v="2"/>
    <n v="80"/>
    <n v="0"/>
    <n v="6"/>
    <n v="4"/>
    <n v="3"/>
    <n v="5"/>
    <n v="3"/>
    <n v="1"/>
    <n v="4"/>
    <n v="1"/>
    <x v="4"/>
  </r>
  <r>
    <n v="34"/>
    <x v="0"/>
    <s v="Travel_Frequently"/>
    <n v="296"/>
    <x v="0"/>
    <n v="6"/>
    <x v="0"/>
    <x v="3"/>
    <n v="1"/>
    <n v="555"/>
    <n v="4"/>
    <x v="0"/>
    <n v="33"/>
    <n v="1"/>
    <n v="1"/>
    <x v="6"/>
    <n v="3"/>
    <x v="2"/>
    <n v="2351"/>
    <n v="12253"/>
    <n v="0"/>
    <s v="Y"/>
    <s v="No"/>
    <n v="16"/>
    <n v="3"/>
    <n v="4"/>
    <n v="80"/>
    <n v="1"/>
    <n v="3"/>
    <n v="3"/>
    <n v="2"/>
    <n v="2"/>
    <n v="2"/>
    <n v="1"/>
    <n v="0"/>
    <n v="1"/>
    <x v="2"/>
  </r>
  <r>
    <n v="38"/>
    <x v="1"/>
    <s v="Travel_Frequently"/>
    <n v="1490"/>
    <x v="1"/>
    <n v="2"/>
    <x v="0"/>
    <x v="0"/>
    <n v="1"/>
    <n v="556"/>
    <n v="4"/>
    <x v="1"/>
    <n v="42"/>
    <n v="3"/>
    <n v="1"/>
    <x v="2"/>
    <n v="4"/>
    <x v="1"/>
    <n v="1702"/>
    <n v="12106"/>
    <n v="1"/>
    <s v="Y"/>
    <s v="Yes"/>
    <n v="23"/>
    <n v="4"/>
    <n v="3"/>
    <n v="80"/>
    <n v="1"/>
    <n v="1"/>
    <n v="3"/>
    <n v="3"/>
    <n v="1"/>
    <n v="0"/>
    <n v="0"/>
    <n v="0"/>
    <n v="0"/>
    <x v="0"/>
  </r>
  <r>
    <n v="40"/>
    <x v="1"/>
    <s v="Travel_Rarely"/>
    <n v="1398"/>
    <x v="0"/>
    <n v="2"/>
    <x v="2"/>
    <x v="0"/>
    <n v="1"/>
    <n v="558"/>
    <n v="3"/>
    <x v="0"/>
    <n v="79"/>
    <n v="3"/>
    <n v="5"/>
    <x v="5"/>
    <n v="3"/>
    <x v="1"/>
    <n v="18041"/>
    <n v="13022"/>
    <n v="0"/>
    <s v="Y"/>
    <s v="No"/>
    <n v="14"/>
    <n v="3"/>
    <n v="4"/>
    <n v="80"/>
    <n v="0"/>
    <n v="21"/>
    <n v="2"/>
    <n v="3"/>
    <n v="20"/>
    <n v="15"/>
    <n v="1"/>
    <n v="12"/>
    <n v="0"/>
    <x v="0"/>
  </r>
  <r>
    <n v="26"/>
    <x v="1"/>
    <s v="Travel_Rarely"/>
    <n v="1349"/>
    <x v="1"/>
    <n v="23"/>
    <x v="3"/>
    <x v="0"/>
    <n v="1"/>
    <n v="560"/>
    <n v="1"/>
    <x v="0"/>
    <n v="90"/>
    <n v="3"/>
    <n v="1"/>
    <x v="1"/>
    <n v="4"/>
    <x v="2"/>
    <n v="2886"/>
    <n v="3032"/>
    <n v="1"/>
    <s v="Y"/>
    <s v="No"/>
    <n v="22"/>
    <n v="4"/>
    <n v="2"/>
    <n v="80"/>
    <n v="2"/>
    <n v="3"/>
    <n v="3"/>
    <n v="1"/>
    <n v="3"/>
    <n v="2"/>
    <n v="0"/>
    <n v="2"/>
    <n v="0"/>
    <x v="2"/>
  </r>
  <r>
    <n v="30"/>
    <x v="1"/>
    <s v="Non-Travel"/>
    <n v="1400"/>
    <x v="1"/>
    <n v="3"/>
    <x v="3"/>
    <x v="0"/>
    <n v="1"/>
    <n v="562"/>
    <n v="3"/>
    <x v="1"/>
    <n v="53"/>
    <n v="3"/>
    <n v="1"/>
    <x v="2"/>
    <n v="4"/>
    <x v="1"/>
    <n v="2097"/>
    <n v="16734"/>
    <n v="4"/>
    <s v="Y"/>
    <s v="No"/>
    <n v="15"/>
    <n v="3"/>
    <n v="3"/>
    <n v="80"/>
    <n v="1"/>
    <n v="9"/>
    <n v="3"/>
    <n v="1"/>
    <n v="5"/>
    <n v="3"/>
    <n v="1"/>
    <n v="4"/>
    <n v="0"/>
    <x v="2"/>
  </r>
  <r>
    <n v="29"/>
    <x v="1"/>
    <s v="Travel_Rarely"/>
    <n v="986"/>
    <x v="1"/>
    <n v="3"/>
    <x v="2"/>
    <x v="2"/>
    <n v="1"/>
    <n v="564"/>
    <n v="2"/>
    <x v="1"/>
    <n v="93"/>
    <n v="2"/>
    <n v="3"/>
    <x v="7"/>
    <n v="3"/>
    <x v="1"/>
    <n v="11935"/>
    <n v="21526"/>
    <n v="1"/>
    <s v="Y"/>
    <s v="No"/>
    <n v="18"/>
    <n v="3"/>
    <n v="3"/>
    <n v="80"/>
    <n v="0"/>
    <n v="10"/>
    <n v="2"/>
    <n v="3"/>
    <n v="10"/>
    <n v="2"/>
    <n v="0"/>
    <n v="7"/>
    <n v="0"/>
    <x v="2"/>
  </r>
  <r>
    <n v="29"/>
    <x v="0"/>
    <s v="Travel_Rarely"/>
    <n v="408"/>
    <x v="1"/>
    <n v="25"/>
    <x v="4"/>
    <x v="4"/>
    <n v="1"/>
    <n v="565"/>
    <n v="3"/>
    <x v="0"/>
    <n v="71"/>
    <n v="2"/>
    <n v="1"/>
    <x v="1"/>
    <n v="2"/>
    <x v="1"/>
    <n v="2546"/>
    <n v="18300"/>
    <n v="5"/>
    <s v="Y"/>
    <s v="No"/>
    <n v="16"/>
    <n v="3"/>
    <n v="2"/>
    <n v="80"/>
    <n v="0"/>
    <n v="6"/>
    <n v="2"/>
    <n v="4"/>
    <n v="2"/>
    <n v="2"/>
    <n v="1"/>
    <n v="1"/>
    <n v="1"/>
    <x v="2"/>
  </r>
  <r>
    <n v="19"/>
    <x v="0"/>
    <s v="Travel_Rarely"/>
    <n v="489"/>
    <x v="2"/>
    <n v="2"/>
    <x v="0"/>
    <x v="4"/>
    <n v="1"/>
    <n v="566"/>
    <n v="1"/>
    <x v="1"/>
    <n v="52"/>
    <n v="2"/>
    <n v="1"/>
    <x v="8"/>
    <n v="4"/>
    <x v="0"/>
    <n v="2564"/>
    <n v="18437"/>
    <n v="1"/>
    <s v="Y"/>
    <s v="No"/>
    <n v="12"/>
    <n v="3"/>
    <n v="3"/>
    <n v="80"/>
    <n v="0"/>
    <n v="1"/>
    <n v="3"/>
    <n v="4"/>
    <n v="1"/>
    <n v="0"/>
    <n v="0"/>
    <n v="0"/>
    <n v="1"/>
    <x v="4"/>
  </r>
  <r>
    <n v="30"/>
    <x v="1"/>
    <s v="Non-Travel"/>
    <n v="1398"/>
    <x v="0"/>
    <n v="22"/>
    <x v="2"/>
    <x v="1"/>
    <n v="1"/>
    <n v="567"/>
    <n v="3"/>
    <x v="0"/>
    <n v="69"/>
    <n v="3"/>
    <n v="3"/>
    <x v="0"/>
    <n v="1"/>
    <x v="1"/>
    <n v="8412"/>
    <n v="2890"/>
    <n v="0"/>
    <s v="Y"/>
    <s v="No"/>
    <n v="11"/>
    <n v="3"/>
    <n v="3"/>
    <n v="80"/>
    <n v="0"/>
    <n v="10"/>
    <n v="3"/>
    <n v="3"/>
    <n v="9"/>
    <n v="8"/>
    <n v="7"/>
    <n v="8"/>
    <n v="0"/>
    <x v="2"/>
  </r>
  <r>
    <n v="57"/>
    <x v="1"/>
    <s v="Travel_Rarely"/>
    <n v="210"/>
    <x v="0"/>
    <n v="29"/>
    <x v="3"/>
    <x v="3"/>
    <n v="1"/>
    <n v="568"/>
    <n v="1"/>
    <x v="1"/>
    <n v="56"/>
    <n v="2"/>
    <n v="4"/>
    <x v="5"/>
    <n v="4"/>
    <x v="2"/>
    <n v="14118"/>
    <n v="22102"/>
    <n v="3"/>
    <s v="Y"/>
    <s v="No"/>
    <n v="12"/>
    <n v="3"/>
    <n v="3"/>
    <n v="80"/>
    <n v="1"/>
    <n v="32"/>
    <n v="3"/>
    <n v="2"/>
    <n v="1"/>
    <n v="0"/>
    <n v="0"/>
    <n v="0"/>
    <n v="0"/>
    <x v="3"/>
  </r>
  <r>
    <n v="50"/>
    <x v="1"/>
    <s v="Travel_Rarely"/>
    <n v="1099"/>
    <x v="1"/>
    <n v="29"/>
    <x v="2"/>
    <x v="0"/>
    <n v="1"/>
    <n v="569"/>
    <n v="2"/>
    <x v="1"/>
    <n v="88"/>
    <n v="2"/>
    <n v="4"/>
    <x v="5"/>
    <n v="3"/>
    <x v="1"/>
    <n v="17046"/>
    <n v="9314"/>
    <n v="0"/>
    <s v="Y"/>
    <s v="No"/>
    <n v="15"/>
    <n v="3"/>
    <n v="2"/>
    <n v="80"/>
    <n v="1"/>
    <n v="28"/>
    <n v="2"/>
    <n v="3"/>
    <n v="27"/>
    <n v="10"/>
    <n v="15"/>
    <n v="7"/>
    <n v="0"/>
    <x v="1"/>
  </r>
  <r>
    <n v="30"/>
    <x v="1"/>
    <s v="Non-Travel"/>
    <n v="1116"/>
    <x v="1"/>
    <n v="2"/>
    <x v="3"/>
    <x v="2"/>
    <n v="1"/>
    <n v="571"/>
    <n v="3"/>
    <x v="0"/>
    <n v="49"/>
    <n v="3"/>
    <n v="1"/>
    <x v="2"/>
    <n v="4"/>
    <x v="0"/>
    <n v="2564"/>
    <n v="7181"/>
    <n v="0"/>
    <s v="Y"/>
    <s v="No"/>
    <n v="14"/>
    <n v="3"/>
    <n v="3"/>
    <n v="80"/>
    <n v="0"/>
    <n v="12"/>
    <n v="2"/>
    <n v="2"/>
    <n v="11"/>
    <n v="7"/>
    <n v="6"/>
    <n v="7"/>
    <n v="0"/>
    <x v="2"/>
  </r>
  <r>
    <n v="60"/>
    <x v="1"/>
    <s v="Travel_Frequently"/>
    <n v="1499"/>
    <x v="0"/>
    <n v="28"/>
    <x v="3"/>
    <x v="3"/>
    <n v="1"/>
    <n v="573"/>
    <n v="3"/>
    <x v="0"/>
    <n v="80"/>
    <n v="2"/>
    <n v="3"/>
    <x v="0"/>
    <n v="1"/>
    <x v="1"/>
    <n v="10266"/>
    <n v="2845"/>
    <n v="4"/>
    <s v="Y"/>
    <s v="No"/>
    <n v="19"/>
    <n v="3"/>
    <n v="4"/>
    <n v="80"/>
    <n v="0"/>
    <n v="22"/>
    <n v="5"/>
    <n v="4"/>
    <n v="18"/>
    <n v="13"/>
    <n v="13"/>
    <n v="11"/>
    <n v="0"/>
    <x v="3"/>
  </r>
  <r>
    <n v="47"/>
    <x v="1"/>
    <s v="Travel_Rarely"/>
    <n v="983"/>
    <x v="1"/>
    <n v="2"/>
    <x v="0"/>
    <x v="2"/>
    <n v="1"/>
    <n v="574"/>
    <n v="1"/>
    <x v="0"/>
    <n v="65"/>
    <n v="3"/>
    <n v="2"/>
    <x v="3"/>
    <n v="4"/>
    <x v="2"/>
    <n v="5070"/>
    <n v="7389"/>
    <n v="5"/>
    <s v="Y"/>
    <s v="No"/>
    <n v="13"/>
    <n v="3"/>
    <n v="3"/>
    <n v="80"/>
    <n v="3"/>
    <n v="20"/>
    <n v="2"/>
    <n v="3"/>
    <n v="5"/>
    <n v="0"/>
    <n v="0"/>
    <n v="4"/>
    <n v="0"/>
    <x v="1"/>
  </r>
  <r>
    <n v="46"/>
    <x v="1"/>
    <s v="Travel_Rarely"/>
    <n v="1009"/>
    <x v="1"/>
    <n v="2"/>
    <x v="3"/>
    <x v="0"/>
    <n v="1"/>
    <n v="575"/>
    <n v="1"/>
    <x v="1"/>
    <n v="51"/>
    <n v="3"/>
    <n v="4"/>
    <x v="7"/>
    <n v="3"/>
    <x v="1"/>
    <n v="17861"/>
    <n v="2288"/>
    <n v="6"/>
    <s v="Y"/>
    <s v="No"/>
    <n v="13"/>
    <n v="3"/>
    <n v="3"/>
    <n v="80"/>
    <n v="0"/>
    <n v="26"/>
    <n v="2"/>
    <n v="1"/>
    <n v="3"/>
    <n v="2"/>
    <n v="0"/>
    <n v="1"/>
    <n v="0"/>
    <x v="1"/>
  </r>
  <r>
    <n v="35"/>
    <x v="1"/>
    <s v="Travel_Rarely"/>
    <n v="144"/>
    <x v="1"/>
    <n v="22"/>
    <x v="3"/>
    <x v="0"/>
    <n v="1"/>
    <n v="577"/>
    <n v="4"/>
    <x v="1"/>
    <n v="46"/>
    <n v="1"/>
    <n v="1"/>
    <x v="2"/>
    <n v="3"/>
    <x v="0"/>
    <n v="4230"/>
    <n v="19225"/>
    <n v="0"/>
    <s v="Y"/>
    <s v="No"/>
    <n v="15"/>
    <n v="3"/>
    <n v="3"/>
    <n v="80"/>
    <n v="0"/>
    <n v="6"/>
    <n v="2"/>
    <n v="3"/>
    <n v="5"/>
    <n v="4"/>
    <n v="4"/>
    <n v="3"/>
    <n v="0"/>
    <x v="0"/>
  </r>
  <r>
    <n v="54"/>
    <x v="1"/>
    <s v="Travel_Rarely"/>
    <n v="548"/>
    <x v="1"/>
    <n v="8"/>
    <x v="2"/>
    <x v="0"/>
    <n v="1"/>
    <n v="578"/>
    <n v="3"/>
    <x v="0"/>
    <n v="42"/>
    <n v="3"/>
    <n v="2"/>
    <x v="2"/>
    <n v="3"/>
    <x v="0"/>
    <n v="3780"/>
    <n v="23428"/>
    <n v="7"/>
    <s v="Y"/>
    <s v="No"/>
    <n v="11"/>
    <n v="3"/>
    <n v="3"/>
    <n v="80"/>
    <n v="0"/>
    <n v="19"/>
    <n v="3"/>
    <n v="3"/>
    <n v="1"/>
    <n v="0"/>
    <n v="0"/>
    <n v="0"/>
    <n v="0"/>
    <x v="1"/>
  </r>
  <r>
    <n v="34"/>
    <x v="1"/>
    <s v="Travel_Rarely"/>
    <n v="1303"/>
    <x v="1"/>
    <n v="2"/>
    <x v="2"/>
    <x v="0"/>
    <n v="1"/>
    <n v="579"/>
    <n v="4"/>
    <x v="1"/>
    <n v="62"/>
    <n v="2"/>
    <n v="1"/>
    <x v="1"/>
    <n v="3"/>
    <x v="2"/>
    <n v="2768"/>
    <n v="8416"/>
    <n v="3"/>
    <s v="Y"/>
    <s v="No"/>
    <n v="12"/>
    <n v="3"/>
    <n v="3"/>
    <n v="80"/>
    <n v="1"/>
    <n v="14"/>
    <n v="3"/>
    <n v="3"/>
    <n v="7"/>
    <n v="3"/>
    <n v="5"/>
    <n v="7"/>
    <n v="0"/>
    <x v="2"/>
  </r>
  <r>
    <n v="46"/>
    <x v="1"/>
    <s v="Travel_Rarely"/>
    <n v="1125"/>
    <x v="0"/>
    <n v="10"/>
    <x v="3"/>
    <x v="3"/>
    <n v="1"/>
    <n v="580"/>
    <n v="3"/>
    <x v="0"/>
    <n v="94"/>
    <n v="2"/>
    <n v="3"/>
    <x v="0"/>
    <n v="4"/>
    <x v="1"/>
    <n v="9071"/>
    <n v="11563"/>
    <n v="2"/>
    <s v="Y"/>
    <s v="Yes"/>
    <n v="19"/>
    <n v="3"/>
    <n v="3"/>
    <n v="80"/>
    <n v="1"/>
    <n v="15"/>
    <n v="3"/>
    <n v="3"/>
    <n v="3"/>
    <n v="2"/>
    <n v="1"/>
    <n v="2"/>
    <n v="0"/>
    <x v="1"/>
  </r>
  <r>
    <n v="31"/>
    <x v="1"/>
    <s v="Travel_Rarely"/>
    <n v="1274"/>
    <x v="1"/>
    <n v="9"/>
    <x v="1"/>
    <x v="0"/>
    <n v="1"/>
    <n v="581"/>
    <n v="3"/>
    <x v="1"/>
    <n v="33"/>
    <n v="3"/>
    <n v="3"/>
    <x v="3"/>
    <n v="2"/>
    <x v="2"/>
    <n v="10648"/>
    <n v="14394"/>
    <n v="1"/>
    <s v="Y"/>
    <s v="No"/>
    <n v="25"/>
    <n v="4"/>
    <n v="4"/>
    <n v="80"/>
    <n v="1"/>
    <n v="13"/>
    <n v="6"/>
    <n v="4"/>
    <n v="13"/>
    <n v="8"/>
    <n v="0"/>
    <n v="8"/>
    <n v="0"/>
    <x v="2"/>
  </r>
  <r>
    <n v="33"/>
    <x v="0"/>
    <s v="Travel_Rarely"/>
    <n v="1277"/>
    <x v="1"/>
    <n v="15"/>
    <x v="1"/>
    <x v="2"/>
    <n v="1"/>
    <n v="582"/>
    <n v="2"/>
    <x v="1"/>
    <n v="56"/>
    <n v="3"/>
    <n v="3"/>
    <x v="5"/>
    <n v="3"/>
    <x v="1"/>
    <n v="13610"/>
    <n v="24619"/>
    <n v="7"/>
    <s v="Y"/>
    <s v="Yes"/>
    <n v="12"/>
    <n v="3"/>
    <n v="4"/>
    <n v="80"/>
    <n v="0"/>
    <n v="15"/>
    <n v="2"/>
    <n v="4"/>
    <n v="7"/>
    <n v="6"/>
    <n v="7"/>
    <n v="7"/>
    <n v="1"/>
    <x v="2"/>
  </r>
  <r>
    <n v="33"/>
    <x v="0"/>
    <s v="Travel_Rarely"/>
    <n v="587"/>
    <x v="1"/>
    <n v="10"/>
    <x v="1"/>
    <x v="2"/>
    <n v="1"/>
    <n v="584"/>
    <n v="1"/>
    <x v="1"/>
    <n v="38"/>
    <n v="1"/>
    <n v="1"/>
    <x v="2"/>
    <n v="4"/>
    <x v="2"/>
    <n v="3408"/>
    <n v="6705"/>
    <n v="7"/>
    <s v="Y"/>
    <s v="No"/>
    <n v="13"/>
    <n v="3"/>
    <n v="1"/>
    <n v="80"/>
    <n v="3"/>
    <n v="8"/>
    <n v="2"/>
    <n v="3"/>
    <n v="4"/>
    <n v="3"/>
    <n v="1"/>
    <n v="3"/>
    <n v="1"/>
    <x v="2"/>
  </r>
  <r>
    <n v="30"/>
    <x v="1"/>
    <s v="Travel_Rarely"/>
    <n v="413"/>
    <x v="0"/>
    <n v="7"/>
    <x v="1"/>
    <x v="3"/>
    <n v="1"/>
    <n v="585"/>
    <n v="4"/>
    <x v="1"/>
    <n v="57"/>
    <n v="3"/>
    <n v="1"/>
    <x v="6"/>
    <n v="2"/>
    <x v="0"/>
    <n v="2983"/>
    <n v="18398"/>
    <n v="0"/>
    <s v="Y"/>
    <s v="No"/>
    <n v="14"/>
    <n v="3"/>
    <n v="1"/>
    <n v="80"/>
    <n v="0"/>
    <n v="4"/>
    <n v="3"/>
    <n v="3"/>
    <n v="3"/>
    <n v="2"/>
    <n v="1"/>
    <n v="2"/>
    <n v="0"/>
    <x v="2"/>
  </r>
  <r>
    <n v="35"/>
    <x v="1"/>
    <s v="Travel_Rarely"/>
    <n v="1276"/>
    <x v="1"/>
    <n v="16"/>
    <x v="3"/>
    <x v="0"/>
    <n v="1"/>
    <n v="586"/>
    <n v="4"/>
    <x v="1"/>
    <n v="72"/>
    <n v="3"/>
    <n v="3"/>
    <x v="4"/>
    <n v="3"/>
    <x v="1"/>
    <n v="7632"/>
    <n v="14295"/>
    <n v="4"/>
    <s v="Y"/>
    <s v="Yes"/>
    <n v="12"/>
    <n v="3"/>
    <n v="3"/>
    <n v="80"/>
    <n v="0"/>
    <n v="10"/>
    <n v="2"/>
    <n v="3"/>
    <n v="8"/>
    <n v="7"/>
    <n v="0"/>
    <n v="0"/>
    <n v="0"/>
    <x v="0"/>
  </r>
  <r>
    <n v="31"/>
    <x v="0"/>
    <s v="Travel_Frequently"/>
    <n v="534"/>
    <x v="1"/>
    <n v="20"/>
    <x v="3"/>
    <x v="0"/>
    <n v="1"/>
    <n v="587"/>
    <n v="1"/>
    <x v="1"/>
    <n v="66"/>
    <n v="3"/>
    <n v="3"/>
    <x v="4"/>
    <n v="3"/>
    <x v="1"/>
    <n v="9824"/>
    <n v="22908"/>
    <n v="3"/>
    <s v="Y"/>
    <s v="No"/>
    <n v="12"/>
    <n v="3"/>
    <n v="1"/>
    <n v="80"/>
    <n v="0"/>
    <n v="12"/>
    <n v="2"/>
    <n v="3"/>
    <n v="1"/>
    <n v="0"/>
    <n v="0"/>
    <n v="0"/>
    <n v="1"/>
    <x v="2"/>
  </r>
  <r>
    <n v="34"/>
    <x v="0"/>
    <s v="Travel_Frequently"/>
    <n v="988"/>
    <x v="2"/>
    <n v="23"/>
    <x v="3"/>
    <x v="5"/>
    <n v="1"/>
    <n v="590"/>
    <n v="2"/>
    <x v="0"/>
    <n v="43"/>
    <n v="3"/>
    <n v="3"/>
    <x v="8"/>
    <n v="1"/>
    <x v="2"/>
    <n v="9950"/>
    <n v="11533"/>
    <n v="9"/>
    <s v="Y"/>
    <s v="Yes"/>
    <n v="15"/>
    <n v="3"/>
    <n v="3"/>
    <n v="80"/>
    <n v="3"/>
    <n v="11"/>
    <n v="2"/>
    <n v="3"/>
    <n v="3"/>
    <n v="2"/>
    <n v="0"/>
    <n v="2"/>
    <n v="1"/>
    <x v="2"/>
  </r>
  <r>
    <n v="42"/>
    <x v="1"/>
    <s v="Travel_Frequently"/>
    <n v="1474"/>
    <x v="1"/>
    <n v="5"/>
    <x v="0"/>
    <x v="1"/>
    <n v="1"/>
    <n v="591"/>
    <n v="2"/>
    <x v="1"/>
    <n v="97"/>
    <n v="3"/>
    <n v="1"/>
    <x v="2"/>
    <n v="3"/>
    <x v="1"/>
    <n v="2093"/>
    <n v="9260"/>
    <n v="4"/>
    <s v="Y"/>
    <s v="No"/>
    <n v="17"/>
    <n v="3"/>
    <n v="4"/>
    <n v="80"/>
    <n v="1"/>
    <n v="8"/>
    <n v="4"/>
    <n v="3"/>
    <n v="2"/>
    <n v="2"/>
    <n v="2"/>
    <n v="0"/>
    <n v="0"/>
    <x v="0"/>
  </r>
  <r>
    <n v="36"/>
    <x v="1"/>
    <s v="Non-Travel"/>
    <n v="635"/>
    <x v="0"/>
    <n v="10"/>
    <x v="2"/>
    <x v="2"/>
    <n v="1"/>
    <n v="592"/>
    <n v="2"/>
    <x v="1"/>
    <n v="32"/>
    <n v="3"/>
    <n v="3"/>
    <x v="0"/>
    <n v="4"/>
    <x v="0"/>
    <n v="9980"/>
    <n v="15318"/>
    <n v="1"/>
    <s v="Y"/>
    <s v="No"/>
    <n v="14"/>
    <n v="3"/>
    <n v="4"/>
    <n v="80"/>
    <n v="0"/>
    <n v="10"/>
    <n v="3"/>
    <n v="2"/>
    <n v="10"/>
    <n v="3"/>
    <n v="9"/>
    <n v="7"/>
    <n v="0"/>
    <x v="0"/>
  </r>
  <r>
    <n v="22"/>
    <x v="0"/>
    <s v="Travel_Frequently"/>
    <n v="1368"/>
    <x v="1"/>
    <n v="4"/>
    <x v="1"/>
    <x v="4"/>
    <n v="1"/>
    <n v="593"/>
    <n v="3"/>
    <x v="1"/>
    <n v="99"/>
    <n v="2"/>
    <n v="1"/>
    <x v="2"/>
    <n v="3"/>
    <x v="0"/>
    <n v="3894"/>
    <n v="9129"/>
    <n v="5"/>
    <s v="Y"/>
    <s v="No"/>
    <n v="16"/>
    <n v="3"/>
    <n v="3"/>
    <n v="80"/>
    <n v="0"/>
    <n v="4"/>
    <n v="3"/>
    <n v="3"/>
    <n v="2"/>
    <n v="2"/>
    <n v="1"/>
    <n v="2"/>
    <n v="1"/>
    <x v="4"/>
  </r>
  <r>
    <n v="48"/>
    <x v="1"/>
    <s v="Travel_Rarely"/>
    <n v="163"/>
    <x v="0"/>
    <n v="2"/>
    <x v="4"/>
    <x v="3"/>
    <n v="1"/>
    <n v="595"/>
    <n v="2"/>
    <x v="0"/>
    <n v="37"/>
    <n v="3"/>
    <n v="2"/>
    <x v="0"/>
    <n v="4"/>
    <x v="1"/>
    <n v="4051"/>
    <n v="19658"/>
    <n v="2"/>
    <s v="Y"/>
    <s v="No"/>
    <n v="14"/>
    <n v="3"/>
    <n v="1"/>
    <n v="80"/>
    <n v="1"/>
    <n v="14"/>
    <n v="2"/>
    <n v="3"/>
    <n v="9"/>
    <n v="7"/>
    <n v="6"/>
    <n v="7"/>
    <n v="0"/>
    <x v="1"/>
  </r>
  <r>
    <n v="55"/>
    <x v="1"/>
    <s v="Travel_Rarely"/>
    <n v="1117"/>
    <x v="0"/>
    <n v="18"/>
    <x v="4"/>
    <x v="0"/>
    <n v="1"/>
    <n v="597"/>
    <n v="1"/>
    <x v="0"/>
    <n v="83"/>
    <n v="3"/>
    <n v="4"/>
    <x v="5"/>
    <n v="2"/>
    <x v="0"/>
    <n v="16835"/>
    <n v="9873"/>
    <n v="3"/>
    <s v="Y"/>
    <s v="No"/>
    <n v="23"/>
    <n v="4"/>
    <n v="4"/>
    <n v="80"/>
    <n v="0"/>
    <n v="37"/>
    <n v="2"/>
    <n v="3"/>
    <n v="10"/>
    <n v="9"/>
    <n v="7"/>
    <n v="7"/>
    <n v="0"/>
    <x v="3"/>
  </r>
  <r>
    <n v="41"/>
    <x v="1"/>
    <s v="Non-Travel"/>
    <n v="267"/>
    <x v="0"/>
    <n v="10"/>
    <x v="0"/>
    <x v="0"/>
    <n v="1"/>
    <n v="599"/>
    <n v="4"/>
    <x v="1"/>
    <n v="56"/>
    <n v="3"/>
    <n v="2"/>
    <x v="0"/>
    <n v="4"/>
    <x v="0"/>
    <n v="6230"/>
    <n v="13430"/>
    <n v="7"/>
    <s v="Y"/>
    <s v="No"/>
    <n v="14"/>
    <n v="3"/>
    <n v="4"/>
    <n v="80"/>
    <n v="0"/>
    <n v="16"/>
    <n v="3"/>
    <n v="3"/>
    <n v="14"/>
    <n v="3"/>
    <n v="1"/>
    <n v="10"/>
    <n v="0"/>
    <x v="0"/>
  </r>
  <r>
    <n v="35"/>
    <x v="1"/>
    <s v="Travel_Rarely"/>
    <n v="619"/>
    <x v="0"/>
    <n v="1"/>
    <x v="3"/>
    <x v="3"/>
    <n v="1"/>
    <n v="600"/>
    <n v="2"/>
    <x v="1"/>
    <n v="85"/>
    <n v="3"/>
    <n v="2"/>
    <x v="0"/>
    <n v="3"/>
    <x v="1"/>
    <n v="4717"/>
    <n v="18659"/>
    <n v="9"/>
    <s v="Y"/>
    <s v="No"/>
    <n v="11"/>
    <n v="3"/>
    <n v="3"/>
    <n v="80"/>
    <n v="0"/>
    <n v="15"/>
    <n v="2"/>
    <n v="3"/>
    <n v="11"/>
    <n v="9"/>
    <n v="6"/>
    <n v="9"/>
    <n v="0"/>
    <x v="0"/>
  </r>
  <r>
    <n v="40"/>
    <x v="1"/>
    <s v="Travel_Rarely"/>
    <n v="302"/>
    <x v="1"/>
    <n v="6"/>
    <x v="3"/>
    <x v="0"/>
    <n v="1"/>
    <n v="601"/>
    <n v="2"/>
    <x v="0"/>
    <n v="75"/>
    <n v="3"/>
    <n v="4"/>
    <x v="3"/>
    <n v="3"/>
    <x v="0"/>
    <n v="13237"/>
    <n v="20364"/>
    <n v="7"/>
    <s v="Y"/>
    <s v="No"/>
    <n v="15"/>
    <n v="3"/>
    <n v="3"/>
    <n v="80"/>
    <n v="0"/>
    <n v="22"/>
    <n v="3"/>
    <n v="3"/>
    <n v="20"/>
    <n v="6"/>
    <n v="5"/>
    <n v="13"/>
    <n v="0"/>
    <x v="0"/>
  </r>
  <r>
    <n v="39"/>
    <x v="1"/>
    <s v="Travel_Frequently"/>
    <n v="443"/>
    <x v="1"/>
    <n v="8"/>
    <x v="1"/>
    <x v="0"/>
    <n v="1"/>
    <n v="602"/>
    <n v="3"/>
    <x v="0"/>
    <n v="48"/>
    <n v="3"/>
    <n v="1"/>
    <x v="2"/>
    <n v="3"/>
    <x v="1"/>
    <n v="3755"/>
    <n v="17872"/>
    <n v="1"/>
    <s v="Y"/>
    <s v="No"/>
    <n v="11"/>
    <n v="3"/>
    <n v="1"/>
    <n v="80"/>
    <n v="1"/>
    <n v="8"/>
    <n v="3"/>
    <n v="3"/>
    <n v="8"/>
    <n v="3"/>
    <n v="0"/>
    <n v="7"/>
    <n v="0"/>
    <x v="0"/>
  </r>
  <r>
    <n v="31"/>
    <x v="1"/>
    <s v="Travel_Rarely"/>
    <n v="828"/>
    <x v="0"/>
    <n v="2"/>
    <x v="1"/>
    <x v="0"/>
    <n v="1"/>
    <n v="604"/>
    <n v="2"/>
    <x v="1"/>
    <n v="77"/>
    <n v="3"/>
    <n v="2"/>
    <x v="0"/>
    <n v="4"/>
    <x v="0"/>
    <n v="6582"/>
    <n v="8346"/>
    <n v="4"/>
    <s v="Y"/>
    <s v="Yes"/>
    <n v="13"/>
    <n v="3"/>
    <n v="3"/>
    <n v="80"/>
    <n v="0"/>
    <n v="10"/>
    <n v="2"/>
    <n v="4"/>
    <n v="6"/>
    <n v="5"/>
    <n v="0"/>
    <n v="5"/>
    <n v="0"/>
    <x v="2"/>
  </r>
  <r>
    <n v="42"/>
    <x v="1"/>
    <s v="Travel_Rarely"/>
    <n v="319"/>
    <x v="1"/>
    <n v="24"/>
    <x v="3"/>
    <x v="2"/>
    <n v="1"/>
    <n v="605"/>
    <n v="4"/>
    <x v="1"/>
    <n v="56"/>
    <n v="3"/>
    <n v="3"/>
    <x v="3"/>
    <n v="1"/>
    <x v="1"/>
    <n v="7406"/>
    <n v="6950"/>
    <n v="1"/>
    <s v="Y"/>
    <s v="Yes"/>
    <n v="21"/>
    <n v="4"/>
    <n v="4"/>
    <n v="80"/>
    <n v="1"/>
    <n v="10"/>
    <n v="5"/>
    <n v="2"/>
    <n v="10"/>
    <n v="9"/>
    <n v="5"/>
    <n v="8"/>
    <n v="0"/>
    <x v="0"/>
  </r>
  <r>
    <n v="45"/>
    <x v="1"/>
    <s v="Travel_Rarely"/>
    <n v="561"/>
    <x v="0"/>
    <n v="2"/>
    <x v="3"/>
    <x v="1"/>
    <n v="1"/>
    <n v="606"/>
    <n v="4"/>
    <x v="1"/>
    <n v="61"/>
    <n v="3"/>
    <n v="2"/>
    <x v="0"/>
    <n v="2"/>
    <x v="1"/>
    <n v="4805"/>
    <n v="16177"/>
    <n v="0"/>
    <s v="Y"/>
    <s v="No"/>
    <n v="19"/>
    <n v="3"/>
    <n v="2"/>
    <n v="80"/>
    <n v="1"/>
    <n v="9"/>
    <n v="3"/>
    <n v="4"/>
    <n v="8"/>
    <n v="7"/>
    <n v="3"/>
    <n v="7"/>
    <n v="0"/>
    <x v="1"/>
  </r>
  <r>
    <n v="26"/>
    <x v="0"/>
    <s v="Travel_Frequently"/>
    <n v="426"/>
    <x v="2"/>
    <n v="17"/>
    <x v="2"/>
    <x v="0"/>
    <n v="1"/>
    <n v="608"/>
    <n v="2"/>
    <x v="0"/>
    <n v="58"/>
    <n v="3"/>
    <n v="1"/>
    <x v="8"/>
    <n v="3"/>
    <x v="2"/>
    <n v="2741"/>
    <n v="22808"/>
    <n v="0"/>
    <s v="Y"/>
    <s v="Yes"/>
    <n v="11"/>
    <n v="3"/>
    <n v="2"/>
    <n v="80"/>
    <n v="1"/>
    <n v="8"/>
    <n v="2"/>
    <n v="2"/>
    <n v="7"/>
    <n v="7"/>
    <n v="1"/>
    <n v="0"/>
    <n v="1"/>
    <x v="2"/>
  </r>
  <r>
    <n v="29"/>
    <x v="1"/>
    <s v="Travel_Rarely"/>
    <n v="232"/>
    <x v="1"/>
    <n v="19"/>
    <x v="3"/>
    <x v="4"/>
    <n v="1"/>
    <n v="611"/>
    <n v="4"/>
    <x v="1"/>
    <n v="34"/>
    <n v="3"/>
    <n v="2"/>
    <x v="3"/>
    <n v="4"/>
    <x v="2"/>
    <n v="4262"/>
    <n v="22645"/>
    <n v="4"/>
    <s v="Y"/>
    <s v="No"/>
    <n v="12"/>
    <n v="3"/>
    <n v="2"/>
    <n v="80"/>
    <n v="2"/>
    <n v="8"/>
    <n v="2"/>
    <n v="4"/>
    <n v="3"/>
    <n v="2"/>
    <n v="1"/>
    <n v="2"/>
    <n v="0"/>
    <x v="2"/>
  </r>
  <r>
    <n v="33"/>
    <x v="1"/>
    <s v="Travel_Rarely"/>
    <n v="922"/>
    <x v="1"/>
    <n v="1"/>
    <x v="4"/>
    <x v="2"/>
    <n v="1"/>
    <n v="612"/>
    <n v="1"/>
    <x v="0"/>
    <n v="95"/>
    <n v="4"/>
    <n v="4"/>
    <x v="7"/>
    <n v="3"/>
    <x v="2"/>
    <n v="16184"/>
    <n v="22578"/>
    <n v="4"/>
    <s v="Y"/>
    <s v="No"/>
    <n v="19"/>
    <n v="3"/>
    <n v="3"/>
    <n v="80"/>
    <n v="1"/>
    <n v="10"/>
    <n v="2"/>
    <n v="3"/>
    <n v="6"/>
    <n v="1"/>
    <n v="0"/>
    <n v="5"/>
    <n v="0"/>
    <x v="2"/>
  </r>
  <r>
    <n v="31"/>
    <x v="1"/>
    <s v="Travel_Rarely"/>
    <n v="688"/>
    <x v="0"/>
    <n v="7"/>
    <x v="3"/>
    <x v="0"/>
    <n v="1"/>
    <n v="613"/>
    <n v="3"/>
    <x v="1"/>
    <n v="44"/>
    <n v="2"/>
    <n v="3"/>
    <x v="5"/>
    <n v="4"/>
    <x v="2"/>
    <n v="11557"/>
    <n v="25291"/>
    <n v="9"/>
    <s v="Y"/>
    <s v="No"/>
    <n v="21"/>
    <n v="4"/>
    <n v="3"/>
    <n v="80"/>
    <n v="1"/>
    <n v="10"/>
    <n v="3"/>
    <n v="2"/>
    <n v="5"/>
    <n v="4"/>
    <n v="0"/>
    <n v="1"/>
    <n v="0"/>
    <x v="2"/>
  </r>
  <r>
    <n v="18"/>
    <x v="0"/>
    <s v="Travel_Frequently"/>
    <n v="1306"/>
    <x v="0"/>
    <n v="5"/>
    <x v="3"/>
    <x v="3"/>
    <n v="1"/>
    <n v="614"/>
    <n v="2"/>
    <x v="1"/>
    <n v="69"/>
    <n v="3"/>
    <n v="1"/>
    <x v="6"/>
    <n v="2"/>
    <x v="0"/>
    <n v="1878"/>
    <n v="8059"/>
    <n v="1"/>
    <s v="Y"/>
    <s v="Yes"/>
    <n v="14"/>
    <n v="3"/>
    <n v="4"/>
    <n v="80"/>
    <n v="0"/>
    <n v="0"/>
    <n v="3"/>
    <n v="3"/>
    <n v="0"/>
    <n v="0"/>
    <n v="0"/>
    <n v="0"/>
    <n v="1"/>
    <x v="4"/>
  </r>
  <r>
    <n v="40"/>
    <x v="1"/>
    <s v="Non-Travel"/>
    <n v="1094"/>
    <x v="0"/>
    <n v="28"/>
    <x v="3"/>
    <x v="1"/>
    <n v="1"/>
    <n v="615"/>
    <n v="3"/>
    <x v="1"/>
    <n v="58"/>
    <n v="1"/>
    <n v="3"/>
    <x v="0"/>
    <n v="1"/>
    <x v="2"/>
    <n v="10932"/>
    <n v="11373"/>
    <n v="3"/>
    <s v="Y"/>
    <s v="No"/>
    <n v="15"/>
    <n v="3"/>
    <n v="3"/>
    <n v="80"/>
    <n v="1"/>
    <n v="20"/>
    <n v="2"/>
    <n v="3"/>
    <n v="1"/>
    <n v="0"/>
    <n v="0"/>
    <n v="1"/>
    <n v="0"/>
    <x v="0"/>
  </r>
  <r>
    <n v="41"/>
    <x v="1"/>
    <s v="Non-Travel"/>
    <n v="509"/>
    <x v="1"/>
    <n v="2"/>
    <x v="2"/>
    <x v="1"/>
    <n v="1"/>
    <n v="616"/>
    <n v="1"/>
    <x v="0"/>
    <n v="62"/>
    <n v="2"/>
    <n v="2"/>
    <x v="4"/>
    <n v="3"/>
    <x v="0"/>
    <n v="6811"/>
    <n v="2112"/>
    <n v="2"/>
    <s v="Y"/>
    <s v="Yes"/>
    <n v="17"/>
    <n v="3"/>
    <n v="1"/>
    <n v="80"/>
    <n v="0"/>
    <n v="10"/>
    <n v="3"/>
    <n v="3"/>
    <n v="8"/>
    <n v="7"/>
    <n v="0"/>
    <n v="7"/>
    <n v="0"/>
    <x v="0"/>
  </r>
  <r>
    <n v="26"/>
    <x v="1"/>
    <s v="Travel_Rarely"/>
    <n v="775"/>
    <x v="0"/>
    <n v="29"/>
    <x v="0"/>
    <x v="2"/>
    <n v="1"/>
    <n v="618"/>
    <n v="1"/>
    <x v="1"/>
    <n v="45"/>
    <n v="3"/>
    <n v="2"/>
    <x v="0"/>
    <n v="3"/>
    <x v="2"/>
    <n v="4306"/>
    <n v="4267"/>
    <n v="5"/>
    <s v="Y"/>
    <s v="No"/>
    <n v="12"/>
    <n v="3"/>
    <n v="1"/>
    <n v="80"/>
    <n v="2"/>
    <n v="8"/>
    <n v="5"/>
    <n v="3"/>
    <n v="0"/>
    <n v="0"/>
    <n v="0"/>
    <n v="0"/>
    <n v="0"/>
    <x v="2"/>
  </r>
  <r>
    <n v="35"/>
    <x v="1"/>
    <s v="Travel_Rarely"/>
    <n v="195"/>
    <x v="0"/>
    <n v="1"/>
    <x v="3"/>
    <x v="2"/>
    <n v="1"/>
    <n v="620"/>
    <n v="1"/>
    <x v="0"/>
    <n v="80"/>
    <n v="3"/>
    <n v="2"/>
    <x v="0"/>
    <n v="3"/>
    <x v="0"/>
    <n v="4859"/>
    <n v="6698"/>
    <n v="1"/>
    <s v="Y"/>
    <s v="No"/>
    <n v="16"/>
    <n v="3"/>
    <n v="4"/>
    <n v="80"/>
    <n v="0"/>
    <n v="5"/>
    <n v="3"/>
    <n v="3"/>
    <n v="5"/>
    <n v="4"/>
    <n v="0"/>
    <n v="3"/>
    <n v="0"/>
    <x v="0"/>
  </r>
  <r>
    <n v="34"/>
    <x v="1"/>
    <s v="Travel_Rarely"/>
    <n v="258"/>
    <x v="0"/>
    <n v="21"/>
    <x v="2"/>
    <x v="0"/>
    <n v="1"/>
    <n v="621"/>
    <n v="4"/>
    <x v="1"/>
    <n v="74"/>
    <n v="4"/>
    <n v="2"/>
    <x v="0"/>
    <n v="4"/>
    <x v="0"/>
    <n v="5337"/>
    <n v="19921"/>
    <n v="1"/>
    <s v="Y"/>
    <s v="No"/>
    <n v="12"/>
    <n v="3"/>
    <n v="4"/>
    <n v="80"/>
    <n v="0"/>
    <n v="10"/>
    <n v="3"/>
    <n v="3"/>
    <n v="10"/>
    <n v="7"/>
    <n v="5"/>
    <n v="7"/>
    <n v="0"/>
    <x v="2"/>
  </r>
  <r>
    <n v="26"/>
    <x v="0"/>
    <s v="Travel_Rarely"/>
    <n v="471"/>
    <x v="1"/>
    <n v="24"/>
    <x v="3"/>
    <x v="4"/>
    <n v="1"/>
    <n v="622"/>
    <n v="3"/>
    <x v="1"/>
    <n v="66"/>
    <n v="1"/>
    <n v="1"/>
    <x v="2"/>
    <n v="4"/>
    <x v="0"/>
    <n v="2340"/>
    <n v="23213"/>
    <n v="1"/>
    <s v="Y"/>
    <s v="Yes"/>
    <n v="18"/>
    <n v="3"/>
    <n v="2"/>
    <n v="80"/>
    <n v="0"/>
    <n v="1"/>
    <n v="3"/>
    <n v="1"/>
    <n v="1"/>
    <n v="0"/>
    <n v="0"/>
    <n v="0"/>
    <n v="1"/>
    <x v="2"/>
  </r>
  <r>
    <n v="37"/>
    <x v="1"/>
    <s v="Travel_Rarely"/>
    <n v="799"/>
    <x v="1"/>
    <n v="1"/>
    <x v="3"/>
    <x v="4"/>
    <n v="1"/>
    <n v="623"/>
    <n v="2"/>
    <x v="0"/>
    <n v="59"/>
    <n v="3"/>
    <n v="3"/>
    <x v="3"/>
    <n v="4"/>
    <x v="0"/>
    <n v="7491"/>
    <n v="23848"/>
    <n v="4"/>
    <s v="Y"/>
    <s v="No"/>
    <n v="17"/>
    <n v="3"/>
    <n v="4"/>
    <n v="80"/>
    <n v="0"/>
    <n v="12"/>
    <n v="3"/>
    <n v="4"/>
    <n v="6"/>
    <n v="5"/>
    <n v="1"/>
    <n v="2"/>
    <n v="0"/>
    <x v="0"/>
  </r>
  <r>
    <n v="46"/>
    <x v="1"/>
    <s v="Travel_Frequently"/>
    <n v="1034"/>
    <x v="1"/>
    <n v="18"/>
    <x v="1"/>
    <x v="2"/>
    <n v="1"/>
    <n v="624"/>
    <n v="1"/>
    <x v="0"/>
    <n v="86"/>
    <n v="3"/>
    <n v="3"/>
    <x v="4"/>
    <n v="3"/>
    <x v="1"/>
    <n v="10527"/>
    <n v="8984"/>
    <n v="5"/>
    <s v="Y"/>
    <s v="No"/>
    <n v="11"/>
    <n v="3"/>
    <n v="4"/>
    <n v="80"/>
    <n v="0"/>
    <n v="28"/>
    <n v="3"/>
    <n v="2"/>
    <n v="2"/>
    <n v="2"/>
    <n v="1"/>
    <n v="2"/>
    <n v="0"/>
    <x v="1"/>
  </r>
  <r>
    <n v="41"/>
    <x v="1"/>
    <s v="Travel_Rarely"/>
    <n v="1276"/>
    <x v="0"/>
    <n v="2"/>
    <x v="4"/>
    <x v="0"/>
    <n v="1"/>
    <n v="625"/>
    <n v="2"/>
    <x v="0"/>
    <n v="91"/>
    <n v="3"/>
    <n v="4"/>
    <x v="5"/>
    <n v="1"/>
    <x v="1"/>
    <n v="16595"/>
    <n v="5626"/>
    <n v="7"/>
    <s v="Y"/>
    <s v="No"/>
    <n v="16"/>
    <n v="3"/>
    <n v="2"/>
    <n v="80"/>
    <n v="1"/>
    <n v="22"/>
    <n v="2"/>
    <n v="3"/>
    <n v="18"/>
    <n v="16"/>
    <n v="11"/>
    <n v="8"/>
    <n v="0"/>
    <x v="0"/>
  </r>
  <r>
    <n v="37"/>
    <x v="1"/>
    <s v="Non-Travel"/>
    <n v="142"/>
    <x v="0"/>
    <n v="9"/>
    <x v="2"/>
    <x v="2"/>
    <n v="1"/>
    <n v="626"/>
    <n v="1"/>
    <x v="1"/>
    <n v="69"/>
    <n v="3"/>
    <n v="3"/>
    <x v="0"/>
    <n v="2"/>
    <x v="2"/>
    <n v="8834"/>
    <n v="24666"/>
    <n v="1"/>
    <s v="Y"/>
    <s v="No"/>
    <n v="13"/>
    <n v="3"/>
    <n v="4"/>
    <n v="80"/>
    <n v="1"/>
    <n v="9"/>
    <n v="6"/>
    <n v="3"/>
    <n v="9"/>
    <n v="5"/>
    <n v="7"/>
    <n v="7"/>
    <n v="0"/>
    <x v="0"/>
  </r>
  <r>
    <n v="52"/>
    <x v="1"/>
    <s v="Travel_Rarely"/>
    <n v="956"/>
    <x v="1"/>
    <n v="6"/>
    <x v="0"/>
    <x v="4"/>
    <n v="1"/>
    <n v="630"/>
    <n v="4"/>
    <x v="1"/>
    <n v="78"/>
    <n v="3"/>
    <n v="2"/>
    <x v="1"/>
    <n v="1"/>
    <x v="2"/>
    <n v="5577"/>
    <n v="22087"/>
    <n v="3"/>
    <s v="Y"/>
    <s v="Yes"/>
    <n v="12"/>
    <n v="3"/>
    <n v="2"/>
    <n v="80"/>
    <n v="2"/>
    <n v="18"/>
    <n v="3"/>
    <n v="3"/>
    <n v="10"/>
    <n v="9"/>
    <n v="6"/>
    <n v="9"/>
    <n v="0"/>
    <x v="1"/>
  </r>
  <r>
    <n v="32"/>
    <x v="0"/>
    <s v="Non-Travel"/>
    <n v="1474"/>
    <x v="0"/>
    <n v="11"/>
    <x v="2"/>
    <x v="1"/>
    <n v="1"/>
    <n v="631"/>
    <n v="4"/>
    <x v="1"/>
    <n v="60"/>
    <n v="4"/>
    <n v="2"/>
    <x v="0"/>
    <n v="3"/>
    <x v="1"/>
    <n v="4707"/>
    <n v="23914"/>
    <n v="8"/>
    <s v="Y"/>
    <s v="No"/>
    <n v="12"/>
    <n v="3"/>
    <n v="4"/>
    <n v="80"/>
    <n v="0"/>
    <n v="6"/>
    <n v="2"/>
    <n v="3"/>
    <n v="4"/>
    <n v="2"/>
    <n v="1"/>
    <n v="2"/>
    <n v="1"/>
    <x v="2"/>
  </r>
  <r>
    <n v="24"/>
    <x v="1"/>
    <s v="Travel_Frequently"/>
    <n v="535"/>
    <x v="0"/>
    <n v="24"/>
    <x v="3"/>
    <x v="2"/>
    <n v="1"/>
    <n v="632"/>
    <n v="4"/>
    <x v="1"/>
    <n v="38"/>
    <n v="3"/>
    <n v="1"/>
    <x v="6"/>
    <n v="4"/>
    <x v="1"/>
    <n v="2400"/>
    <n v="5530"/>
    <n v="0"/>
    <s v="Y"/>
    <s v="No"/>
    <n v="13"/>
    <n v="3"/>
    <n v="3"/>
    <n v="80"/>
    <n v="2"/>
    <n v="3"/>
    <n v="3"/>
    <n v="3"/>
    <n v="2"/>
    <n v="2"/>
    <n v="2"/>
    <n v="1"/>
    <n v="0"/>
    <x v="4"/>
  </r>
  <r>
    <n v="38"/>
    <x v="1"/>
    <s v="Travel_Rarely"/>
    <n v="1495"/>
    <x v="1"/>
    <n v="10"/>
    <x v="3"/>
    <x v="2"/>
    <n v="1"/>
    <n v="634"/>
    <n v="3"/>
    <x v="0"/>
    <n v="76"/>
    <n v="3"/>
    <n v="2"/>
    <x v="4"/>
    <n v="3"/>
    <x v="1"/>
    <n v="9824"/>
    <n v="22174"/>
    <n v="3"/>
    <s v="Y"/>
    <s v="No"/>
    <n v="19"/>
    <n v="3"/>
    <n v="3"/>
    <n v="80"/>
    <n v="1"/>
    <n v="18"/>
    <n v="4"/>
    <n v="3"/>
    <n v="1"/>
    <n v="0"/>
    <n v="0"/>
    <n v="0"/>
    <n v="0"/>
    <x v="0"/>
  </r>
  <r>
    <n v="37"/>
    <x v="1"/>
    <s v="Travel_Rarely"/>
    <n v="446"/>
    <x v="1"/>
    <n v="1"/>
    <x v="2"/>
    <x v="0"/>
    <n v="1"/>
    <n v="635"/>
    <n v="2"/>
    <x v="0"/>
    <n v="65"/>
    <n v="3"/>
    <n v="2"/>
    <x v="3"/>
    <n v="2"/>
    <x v="1"/>
    <n v="6447"/>
    <n v="15701"/>
    <n v="6"/>
    <s v="Y"/>
    <s v="No"/>
    <n v="12"/>
    <n v="3"/>
    <n v="2"/>
    <n v="80"/>
    <n v="1"/>
    <n v="8"/>
    <n v="2"/>
    <n v="2"/>
    <n v="6"/>
    <n v="5"/>
    <n v="4"/>
    <n v="3"/>
    <n v="0"/>
    <x v="0"/>
  </r>
  <r>
    <n v="49"/>
    <x v="1"/>
    <s v="Travel_Rarely"/>
    <n v="1245"/>
    <x v="1"/>
    <n v="18"/>
    <x v="2"/>
    <x v="0"/>
    <n v="1"/>
    <n v="638"/>
    <n v="4"/>
    <x v="1"/>
    <n v="58"/>
    <n v="2"/>
    <n v="5"/>
    <x v="7"/>
    <n v="3"/>
    <x v="2"/>
    <n v="19502"/>
    <n v="2125"/>
    <n v="1"/>
    <s v="Y"/>
    <s v="Yes"/>
    <n v="17"/>
    <n v="3"/>
    <n v="3"/>
    <n v="80"/>
    <n v="1"/>
    <n v="31"/>
    <n v="5"/>
    <n v="3"/>
    <n v="31"/>
    <n v="9"/>
    <n v="0"/>
    <n v="9"/>
    <n v="0"/>
    <x v="1"/>
  </r>
  <r>
    <n v="24"/>
    <x v="1"/>
    <s v="Travel_Rarely"/>
    <n v="691"/>
    <x v="1"/>
    <n v="23"/>
    <x v="3"/>
    <x v="2"/>
    <n v="1"/>
    <n v="639"/>
    <n v="2"/>
    <x v="1"/>
    <n v="89"/>
    <n v="4"/>
    <n v="1"/>
    <x v="1"/>
    <n v="4"/>
    <x v="1"/>
    <n v="2725"/>
    <n v="21630"/>
    <n v="1"/>
    <s v="Y"/>
    <s v="Yes"/>
    <n v="11"/>
    <n v="3"/>
    <n v="2"/>
    <n v="80"/>
    <n v="2"/>
    <n v="6"/>
    <n v="3"/>
    <n v="3"/>
    <n v="6"/>
    <n v="5"/>
    <n v="1"/>
    <n v="4"/>
    <n v="0"/>
    <x v="4"/>
  </r>
  <r>
    <n v="26"/>
    <x v="1"/>
    <s v="Travel_Rarely"/>
    <n v="703"/>
    <x v="0"/>
    <n v="28"/>
    <x v="0"/>
    <x v="3"/>
    <n v="1"/>
    <n v="641"/>
    <n v="1"/>
    <x v="1"/>
    <n v="66"/>
    <n v="3"/>
    <n v="2"/>
    <x v="0"/>
    <n v="2"/>
    <x v="1"/>
    <n v="6272"/>
    <n v="7428"/>
    <n v="1"/>
    <s v="Y"/>
    <s v="No"/>
    <n v="20"/>
    <n v="4"/>
    <n v="4"/>
    <n v="80"/>
    <n v="2"/>
    <n v="6"/>
    <n v="5"/>
    <n v="4"/>
    <n v="5"/>
    <n v="3"/>
    <n v="1"/>
    <n v="4"/>
    <n v="0"/>
    <x v="2"/>
  </r>
  <r>
    <n v="24"/>
    <x v="1"/>
    <s v="Travel_Rarely"/>
    <n v="823"/>
    <x v="1"/>
    <n v="17"/>
    <x v="0"/>
    <x v="1"/>
    <n v="1"/>
    <n v="643"/>
    <n v="4"/>
    <x v="1"/>
    <n v="94"/>
    <n v="2"/>
    <n v="1"/>
    <x v="2"/>
    <n v="2"/>
    <x v="1"/>
    <n v="2127"/>
    <n v="9100"/>
    <n v="1"/>
    <s v="Y"/>
    <s v="No"/>
    <n v="21"/>
    <n v="4"/>
    <n v="4"/>
    <n v="80"/>
    <n v="1"/>
    <n v="1"/>
    <n v="2"/>
    <n v="3"/>
    <n v="1"/>
    <n v="0"/>
    <n v="0"/>
    <n v="0"/>
    <n v="0"/>
    <x v="4"/>
  </r>
  <r>
    <n v="50"/>
    <x v="1"/>
    <s v="Travel_Frequently"/>
    <n v="1246"/>
    <x v="2"/>
    <n v="3"/>
    <x v="3"/>
    <x v="2"/>
    <n v="1"/>
    <n v="644"/>
    <n v="1"/>
    <x v="1"/>
    <n v="99"/>
    <n v="3"/>
    <n v="5"/>
    <x v="5"/>
    <n v="2"/>
    <x v="1"/>
    <n v="18200"/>
    <n v="7999"/>
    <n v="1"/>
    <s v="Y"/>
    <s v="No"/>
    <n v="11"/>
    <n v="3"/>
    <n v="3"/>
    <n v="80"/>
    <n v="1"/>
    <n v="32"/>
    <n v="2"/>
    <n v="3"/>
    <n v="32"/>
    <n v="5"/>
    <n v="10"/>
    <n v="7"/>
    <n v="0"/>
    <x v="1"/>
  </r>
  <r>
    <n v="25"/>
    <x v="1"/>
    <s v="Travel_Rarely"/>
    <n v="622"/>
    <x v="0"/>
    <n v="13"/>
    <x v="1"/>
    <x v="2"/>
    <n v="1"/>
    <n v="645"/>
    <n v="2"/>
    <x v="1"/>
    <n v="40"/>
    <n v="3"/>
    <n v="1"/>
    <x v="6"/>
    <n v="3"/>
    <x v="1"/>
    <n v="2096"/>
    <n v="26376"/>
    <n v="1"/>
    <s v="Y"/>
    <s v="No"/>
    <n v="11"/>
    <n v="3"/>
    <n v="3"/>
    <n v="80"/>
    <n v="0"/>
    <n v="7"/>
    <n v="1"/>
    <n v="3"/>
    <n v="7"/>
    <n v="4"/>
    <n v="0"/>
    <n v="6"/>
    <n v="0"/>
    <x v="2"/>
  </r>
  <r>
    <n v="24"/>
    <x v="0"/>
    <s v="Travel_Frequently"/>
    <n v="1287"/>
    <x v="1"/>
    <n v="7"/>
    <x v="3"/>
    <x v="0"/>
    <n v="1"/>
    <n v="647"/>
    <n v="1"/>
    <x v="0"/>
    <n v="55"/>
    <n v="3"/>
    <n v="1"/>
    <x v="2"/>
    <n v="3"/>
    <x v="1"/>
    <n v="2886"/>
    <n v="14168"/>
    <n v="1"/>
    <s v="Y"/>
    <s v="Yes"/>
    <n v="16"/>
    <n v="3"/>
    <n v="4"/>
    <n v="80"/>
    <n v="1"/>
    <n v="6"/>
    <n v="4"/>
    <n v="3"/>
    <n v="6"/>
    <n v="3"/>
    <n v="1"/>
    <n v="2"/>
    <n v="1"/>
    <x v="4"/>
  </r>
  <r>
    <n v="30"/>
    <x v="0"/>
    <s v="Travel_Frequently"/>
    <n v="448"/>
    <x v="0"/>
    <n v="12"/>
    <x v="2"/>
    <x v="0"/>
    <n v="1"/>
    <n v="648"/>
    <n v="2"/>
    <x v="1"/>
    <n v="74"/>
    <n v="2"/>
    <n v="1"/>
    <x v="6"/>
    <n v="1"/>
    <x v="1"/>
    <n v="2033"/>
    <n v="14470"/>
    <n v="1"/>
    <s v="Y"/>
    <s v="No"/>
    <n v="18"/>
    <n v="3"/>
    <n v="3"/>
    <n v="80"/>
    <n v="1"/>
    <n v="1"/>
    <n v="2"/>
    <n v="4"/>
    <n v="1"/>
    <n v="0"/>
    <n v="0"/>
    <n v="0"/>
    <n v="1"/>
    <x v="2"/>
  </r>
  <r>
    <n v="34"/>
    <x v="1"/>
    <s v="Travel_Rarely"/>
    <n v="254"/>
    <x v="1"/>
    <n v="1"/>
    <x v="0"/>
    <x v="0"/>
    <n v="1"/>
    <n v="649"/>
    <n v="2"/>
    <x v="1"/>
    <n v="83"/>
    <n v="2"/>
    <n v="1"/>
    <x v="1"/>
    <n v="4"/>
    <x v="1"/>
    <n v="3622"/>
    <n v="22794"/>
    <n v="1"/>
    <s v="Y"/>
    <s v="Yes"/>
    <n v="13"/>
    <n v="3"/>
    <n v="4"/>
    <n v="80"/>
    <n v="1"/>
    <n v="6"/>
    <n v="3"/>
    <n v="3"/>
    <n v="6"/>
    <n v="5"/>
    <n v="1"/>
    <n v="3"/>
    <n v="0"/>
    <x v="2"/>
  </r>
  <r>
    <n v="31"/>
    <x v="0"/>
    <s v="Travel_Rarely"/>
    <n v="1365"/>
    <x v="0"/>
    <n v="13"/>
    <x v="2"/>
    <x v="2"/>
    <n v="1"/>
    <n v="650"/>
    <n v="2"/>
    <x v="1"/>
    <n v="46"/>
    <n v="3"/>
    <n v="2"/>
    <x v="0"/>
    <n v="1"/>
    <x v="2"/>
    <n v="4233"/>
    <n v="11512"/>
    <n v="2"/>
    <s v="Y"/>
    <s v="No"/>
    <n v="17"/>
    <n v="3"/>
    <n v="3"/>
    <n v="80"/>
    <n v="0"/>
    <n v="9"/>
    <n v="2"/>
    <n v="1"/>
    <n v="3"/>
    <n v="1"/>
    <n v="1"/>
    <n v="2"/>
    <n v="1"/>
    <x v="2"/>
  </r>
  <r>
    <n v="35"/>
    <x v="1"/>
    <s v="Travel_Rarely"/>
    <n v="538"/>
    <x v="1"/>
    <n v="25"/>
    <x v="0"/>
    <x v="1"/>
    <n v="1"/>
    <n v="652"/>
    <n v="1"/>
    <x v="1"/>
    <n v="54"/>
    <n v="2"/>
    <n v="2"/>
    <x v="2"/>
    <n v="4"/>
    <x v="0"/>
    <n v="3681"/>
    <n v="14004"/>
    <n v="4"/>
    <s v="Y"/>
    <s v="No"/>
    <n v="14"/>
    <n v="3"/>
    <n v="4"/>
    <n v="80"/>
    <n v="0"/>
    <n v="9"/>
    <n v="3"/>
    <n v="3"/>
    <n v="3"/>
    <n v="2"/>
    <n v="0"/>
    <n v="2"/>
    <n v="0"/>
    <x v="0"/>
  </r>
  <r>
    <n v="31"/>
    <x v="1"/>
    <s v="Travel_Rarely"/>
    <n v="525"/>
    <x v="0"/>
    <n v="6"/>
    <x v="2"/>
    <x v="2"/>
    <n v="1"/>
    <n v="653"/>
    <n v="1"/>
    <x v="1"/>
    <n v="66"/>
    <n v="4"/>
    <n v="2"/>
    <x v="0"/>
    <n v="4"/>
    <x v="2"/>
    <n v="5460"/>
    <n v="6219"/>
    <n v="4"/>
    <s v="Y"/>
    <s v="No"/>
    <n v="22"/>
    <n v="4"/>
    <n v="4"/>
    <n v="80"/>
    <n v="2"/>
    <n v="13"/>
    <n v="4"/>
    <n v="4"/>
    <n v="7"/>
    <n v="7"/>
    <n v="5"/>
    <n v="7"/>
    <n v="0"/>
    <x v="2"/>
  </r>
  <r>
    <n v="27"/>
    <x v="1"/>
    <s v="Travel_Rarely"/>
    <n v="798"/>
    <x v="1"/>
    <n v="6"/>
    <x v="2"/>
    <x v="2"/>
    <n v="1"/>
    <n v="655"/>
    <n v="1"/>
    <x v="0"/>
    <n v="66"/>
    <n v="2"/>
    <n v="1"/>
    <x v="1"/>
    <n v="3"/>
    <x v="2"/>
    <n v="2187"/>
    <n v="5013"/>
    <n v="0"/>
    <s v="Y"/>
    <s v="No"/>
    <n v="12"/>
    <n v="3"/>
    <n v="3"/>
    <n v="80"/>
    <n v="2"/>
    <n v="6"/>
    <n v="5"/>
    <n v="2"/>
    <n v="5"/>
    <n v="3"/>
    <n v="0"/>
    <n v="3"/>
    <n v="0"/>
    <x v="2"/>
  </r>
  <r>
    <n v="37"/>
    <x v="1"/>
    <s v="Travel_Rarely"/>
    <n v="558"/>
    <x v="0"/>
    <n v="2"/>
    <x v="3"/>
    <x v="3"/>
    <n v="1"/>
    <n v="656"/>
    <n v="4"/>
    <x v="1"/>
    <n v="75"/>
    <n v="3"/>
    <n v="2"/>
    <x v="0"/>
    <n v="3"/>
    <x v="1"/>
    <n v="9602"/>
    <n v="3010"/>
    <n v="4"/>
    <s v="Y"/>
    <s v="Yes"/>
    <n v="11"/>
    <n v="3"/>
    <n v="3"/>
    <n v="80"/>
    <n v="1"/>
    <n v="17"/>
    <n v="3"/>
    <n v="2"/>
    <n v="3"/>
    <n v="0"/>
    <n v="1"/>
    <n v="0"/>
    <n v="0"/>
    <x v="0"/>
  </r>
  <r>
    <n v="20"/>
    <x v="1"/>
    <s v="Travel_Rarely"/>
    <n v="959"/>
    <x v="1"/>
    <n v="1"/>
    <x v="3"/>
    <x v="0"/>
    <n v="1"/>
    <n v="657"/>
    <n v="4"/>
    <x v="0"/>
    <n v="83"/>
    <n v="2"/>
    <n v="1"/>
    <x v="1"/>
    <n v="2"/>
    <x v="0"/>
    <n v="2836"/>
    <n v="11757"/>
    <n v="1"/>
    <s v="Y"/>
    <s v="No"/>
    <n v="13"/>
    <n v="3"/>
    <n v="4"/>
    <n v="80"/>
    <n v="0"/>
    <n v="1"/>
    <n v="0"/>
    <n v="4"/>
    <n v="1"/>
    <n v="0"/>
    <n v="0"/>
    <n v="0"/>
    <n v="0"/>
    <x v="4"/>
  </r>
  <r>
    <n v="42"/>
    <x v="1"/>
    <s v="Travel_Rarely"/>
    <n v="622"/>
    <x v="1"/>
    <n v="2"/>
    <x v="2"/>
    <x v="0"/>
    <n v="1"/>
    <n v="659"/>
    <n v="3"/>
    <x v="0"/>
    <n v="81"/>
    <n v="3"/>
    <n v="2"/>
    <x v="4"/>
    <n v="4"/>
    <x v="1"/>
    <n v="4089"/>
    <n v="5718"/>
    <n v="1"/>
    <s v="Y"/>
    <s v="No"/>
    <n v="13"/>
    <n v="3"/>
    <n v="2"/>
    <n v="80"/>
    <n v="2"/>
    <n v="10"/>
    <n v="4"/>
    <n v="3"/>
    <n v="10"/>
    <n v="2"/>
    <n v="2"/>
    <n v="2"/>
    <n v="0"/>
    <x v="0"/>
  </r>
  <r>
    <n v="43"/>
    <x v="1"/>
    <s v="Travel_Rarely"/>
    <n v="782"/>
    <x v="1"/>
    <n v="6"/>
    <x v="2"/>
    <x v="1"/>
    <n v="1"/>
    <n v="661"/>
    <n v="2"/>
    <x v="1"/>
    <n v="50"/>
    <n v="2"/>
    <n v="4"/>
    <x v="7"/>
    <n v="4"/>
    <x v="2"/>
    <n v="16627"/>
    <n v="2671"/>
    <n v="4"/>
    <s v="Y"/>
    <s v="Yes"/>
    <n v="14"/>
    <n v="3"/>
    <n v="3"/>
    <n v="80"/>
    <n v="1"/>
    <n v="21"/>
    <n v="3"/>
    <n v="2"/>
    <n v="1"/>
    <n v="0"/>
    <n v="0"/>
    <n v="0"/>
    <n v="0"/>
    <x v="0"/>
  </r>
  <r>
    <n v="38"/>
    <x v="1"/>
    <s v="Travel_Rarely"/>
    <n v="362"/>
    <x v="1"/>
    <n v="1"/>
    <x v="1"/>
    <x v="0"/>
    <n v="1"/>
    <n v="662"/>
    <n v="3"/>
    <x v="0"/>
    <n v="43"/>
    <n v="3"/>
    <n v="1"/>
    <x v="1"/>
    <n v="1"/>
    <x v="0"/>
    <n v="2619"/>
    <n v="14561"/>
    <n v="3"/>
    <s v="Y"/>
    <s v="No"/>
    <n v="17"/>
    <n v="3"/>
    <n v="4"/>
    <n v="80"/>
    <n v="0"/>
    <n v="8"/>
    <n v="3"/>
    <n v="2"/>
    <n v="0"/>
    <n v="0"/>
    <n v="0"/>
    <n v="0"/>
    <n v="0"/>
    <x v="0"/>
  </r>
  <r>
    <n v="43"/>
    <x v="1"/>
    <s v="Travel_Frequently"/>
    <n v="1001"/>
    <x v="1"/>
    <n v="9"/>
    <x v="4"/>
    <x v="2"/>
    <n v="1"/>
    <n v="663"/>
    <n v="4"/>
    <x v="1"/>
    <n v="72"/>
    <n v="3"/>
    <n v="2"/>
    <x v="2"/>
    <n v="3"/>
    <x v="2"/>
    <n v="5679"/>
    <n v="19627"/>
    <n v="3"/>
    <s v="Y"/>
    <s v="Yes"/>
    <n v="13"/>
    <n v="3"/>
    <n v="2"/>
    <n v="80"/>
    <n v="1"/>
    <n v="10"/>
    <n v="3"/>
    <n v="3"/>
    <n v="8"/>
    <n v="7"/>
    <n v="4"/>
    <n v="7"/>
    <n v="0"/>
    <x v="0"/>
  </r>
  <r>
    <n v="48"/>
    <x v="1"/>
    <s v="Travel_Rarely"/>
    <n v="1236"/>
    <x v="1"/>
    <n v="1"/>
    <x v="2"/>
    <x v="0"/>
    <n v="1"/>
    <n v="664"/>
    <n v="4"/>
    <x v="0"/>
    <n v="40"/>
    <n v="2"/>
    <n v="4"/>
    <x v="5"/>
    <n v="1"/>
    <x v="1"/>
    <n v="15402"/>
    <n v="17997"/>
    <n v="7"/>
    <s v="Y"/>
    <s v="No"/>
    <n v="11"/>
    <n v="3"/>
    <n v="1"/>
    <n v="80"/>
    <n v="1"/>
    <n v="21"/>
    <n v="3"/>
    <n v="1"/>
    <n v="3"/>
    <n v="2"/>
    <n v="0"/>
    <n v="2"/>
    <n v="0"/>
    <x v="1"/>
  </r>
  <r>
    <n v="44"/>
    <x v="1"/>
    <s v="Travel_Rarely"/>
    <n v="1112"/>
    <x v="2"/>
    <n v="1"/>
    <x v="2"/>
    <x v="0"/>
    <n v="1"/>
    <n v="665"/>
    <n v="1"/>
    <x v="0"/>
    <n v="50"/>
    <n v="2"/>
    <n v="2"/>
    <x v="8"/>
    <n v="3"/>
    <x v="0"/>
    <n v="5985"/>
    <n v="26894"/>
    <n v="4"/>
    <s v="Y"/>
    <s v="No"/>
    <n v="11"/>
    <n v="3"/>
    <n v="2"/>
    <n v="80"/>
    <n v="0"/>
    <n v="10"/>
    <n v="1"/>
    <n v="4"/>
    <n v="2"/>
    <n v="2"/>
    <n v="0"/>
    <n v="2"/>
    <n v="0"/>
    <x v="0"/>
  </r>
  <r>
    <n v="34"/>
    <x v="1"/>
    <s v="Travel_Rarely"/>
    <n v="204"/>
    <x v="0"/>
    <n v="14"/>
    <x v="3"/>
    <x v="4"/>
    <n v="1"/>
    <n v="666"/>
    <n v="3"/>
    <x v="0"/>
    <n v="31"/>
    <n v="3"/>
    <n v="1"/>
    <x v="6"/>
    <n v="3"/>
    <x v="2"/>
    <n v="2579"/>
    <n v="2912"/>
    <n v="1"/>
    <s v="Y"/>
    <s v="Yes"/>
    <n v="18"/>
    <n v="3"/>
    <n v="4"/>
    <n v="80"/>
    <n v="2"/>
    <n v="8"/>
    <n v="3"/>
    <n v="3"/>
    <n v="8"/>
    <n v="2"/>
    <n v="0"/>
    <n v="6"/>
    <n v="0"/>
    <x v="2"/>
  </r>
  <r>
    <n v="27"/>
    <x v="0"/>
    <s v="Travel_Rarely"/>
    <n v="1420"/>
    <x v="0"/>
    <n v="2"/>
    <x v="1"/>
    <x v="3"/>
    <n v="1"/>
    <n v="667"/>
    <n v="3"/>
    <x v="1"/>
    <n v="85"/>
    <n v="3"/>
    <n v="1"/>
    <x v="6"/>
    <n v="1"/>
    <x v="2"/>
    <n v="3041"/>
    <n v="16346"/>
    <n v="0"/>
    <s v="Y"/>
    <s v="No"/>
    <n v="11"/>
    <n v="3"/>
    <n v="2"/>
    <n v="80"/>
    <n v="1"/>
    <n v="5"/>
    <n v="3"/>
    <n v="3"/>
    <n v="4"/>
    <n v="3"/>
    <n v="0"/>
    <n v="2"/>
    <n v="1"/>
    <x v="2"/>
  </r>
  <r>
    <n v="21"/>
    <x v="1"/>
    <s v="Travel_Rarely"/>
    <n v="1343"/>
    <x v="0"/>
    <n v="22"/>
    <x v="1"/>
    <x v="4"/>
    <n v="1"/>
    <n v="669"/>
    <n v="3"/>
    <x v="1"/>
    <n v="49"/>
    <n v="3"/>
    <n v="1"/>
    <x v="6"/>
    <n v="3"/>
    <x v="0"/>
    <n v="3447"/>
    <n v="24444"/>
    <n v="1"/>
    <s v="Y"/>
    <s v="No"/>
    <n v="11"/>
    <n v="3"/>
    <n v="3"/>
    <n v="80"/>
    <n v="0"/>
    <n v="3"/>
    <n v="2"/>
    <n v="3"/>
    <n v="3"/>
    <n v="2"/>
    <n v="1"/>
    <n v="2"/>
    <n v="0"/>
    <x v="4"/>
  </r>
  <r>
    <n v="44"/>
    <x v="1"/>
    <s v="Travel_Rarely"/>
    <n v="1315"/>
    <x v="1"/>
    <n v="3"/>
    <x v="2"/>
    <x v="1"/>
    <n v="1"/>
    <n v="671"/>
    <n v="4"/>
    <x v="1"/>
    <n v="35"/>
    <n v="3"/>
    <n v="5"/>
    <x v="5"/>
    <n v="4"/>
    <x v="1"/>
    <n v="19513"/>
    <n v="9358"/>
    <n v="4"/>
    <s v="Y"/>
    <s v="Yes"/>
    <n v="12"/>
    <n v="3"/>
    <n v="1"/>
    <n v="80"/>
    <n v="1"/>
    <n v="26"/>
    <n v="2"/>
    <n v="4"/>
    <n v="2"/>
    <n v="2"/>
    <n v="0"/>
    <n v="1"/>
    <n v="0"/>
    <x v="0"/>
  </r>
  <r>
    <n v="22"/>
    <x v="1"/>
    <s v="Travel_Rarely"/>
    <n v="604"/>
    <x v="1"/>
    <n v="6"/>
    <x v="1"/>
    <x v="2"/>
    <n v="1"/>
    <n v="675"/>
    <n v="1"/>
    <x v="1"/>
    <n v="69"/>
    <n v="3"/>
    <n v="1"/>
    <x v="1"/>
    <n v="3"/>
    <x v="1"/>
    <n v="2773"/>
    <n v="12145"/>
    <n v="0"/>
    <s v="Y"/>
    <s v="No"/>
    <n v="20"/>
    <n v="4"/>
    <n v="4"/>
    <n v="80"/>
    <n v="0"/>
    <n v="3"/>
    <n v="3"/>
    <n v="3"/>
    <n v="2"/>
    <n v="2"/>
    <n v="2"/>
    <n v="2"/>
    <n v="0"/>
    <x v="4"/>
  </r>
  <r>
    <n v="33"/>
    <x v="1"/>
    <s v="Travel_Rarely"/>
    <n v="1216"/>
    <x v="0"/>
    <n v="8"/>
    <x v="2"/>
    <x v="3"/>
    <n v="1"/>
    <n v="677"/>
    <n v="3"/>
    <x v="1"/>
    <n v="39"/>
    <n v="3"/>
    <n v="2"/>
    <x v="0"/>
    <n v="3"/>
    <x v="2"/>
    <n v="7104"/>
    <n v="20431"/>
    <n v="0"/>
    <s v="Y"/>
    <s v="No"/>
    <n v="12"/>
    <n v="3"/>
    <n v="4"/>
    <n v="80"/>
    <n v="0"/>
    <n v="6"/>
    <n v="3"/>
    <n v="3"/>
    <n v="5"/>
    <n v="0"/>
    <n v="1"/>
    <n v="2"/>
    <n v="0"/>
    <x v="2"/>
  </r>
  <r>
    <n v="32"/>
    <x v="1"/>
    <s v="Travel_Rarely"/>
    <n v="646"/>
    <x v="1"/>
    <n v="9"/>
    <x v="2"/>
    <x v="0"/>
    <n v="1"/>
    <n v="679"/>
    <n v="1"/>
    <x v="0"/>
    <n v="92"/>
    <n v="3"/>
    <n v="2"/>
    <x v="1"/>
    <n v="4"/>
    <x v="1"/>
    <n v="6322"/>
    <n v="18089"/>
    <n v="1"/>
    <s v="Y"/>
    <s v="Yes"/>
    <n v="12"/>
    <n v="3"/>
    <n v="4"/>
    <n v="80"/>
    <n v="1"/>
    <n v="6"/>
    <n v="2"/>
    <n v="2"/>
    <n v="6"/>
    <n v="4"/>
    <n v="0"/>
    <n v="5"/>
    <n v="0"/>
    <x v="2"/>
  </r>
  <r>
    <n v="30"/>
    <x v="1"/>
    <s v="Travel_Frequently"/>
    <n v="160"/>
    <x v="1"/>
    <n v="3"/>
    <x v="3"/>
    <x v="2"/>
    <n v="1"/>
    <n v="680"/>
    <n v="3"/>
    <x v="0"/>
    <n v="71"/>
    <n v="3"/>
    <n v="1"/>
    <x v="1"/>
    <n v="3"/>
    <x v="2"/>
    <n v="2083"/>
    <n v="22653"/>
    <n v="1"/>
    <s v="Y"/>
    <s v="No"/>
    <n v="20"/>
    <n v="4"/>
    <n v="3"/>
    <n v="80"/>
    <n v="1"/>
    <n v="1"/>
    <n v="2"/>
    <n v="3"/>
    <n v="1"/>
    <n v="0"/>
    <n v="0"/>
    <n v="0"/>
    <n v="0"/>
    <x v="2"/>
  </r>
  <r>
    <n v="53"/>
    <x v="1"/>
    <s v="Travel_Rarely"/>
    <n v="238"/>
    <x v="0"/>
    <n v="1"/>
    <x v="1"/>
    <x v="2"/>
    <n v="1"/>
    <n v="682"/>
    <n v="4"/>
    <x v="0"/>
    <n v="34"/>
    <n v="3"/>
    <n v="2"/>
    <x v="0"/>
    <n v="1"/>
    <x v="0"/>
    <n v="8381"/>
    <n v="7507"/>
    <n v="7"/>
    <s v="Y"/>
    <s v="No"/>
    <n v="20"/>
    <n v="4"/>
    <n v="4"/>
    <n v="80"/>
    <n v="0"/>
    <n v="18"/>
    <n v="2"/>
    <n v="4"/>
    <n v="14"/>
    <n v="7"/>
    <n v="8"/>
    <n v="10"/>
    <n v="0"/>
    <x v="1"/>
  </r>
  <r>
    <n v="34"/>
    <x v="1"/>
    <s v="Travel_Rarely"/>
    <n v="1397"/>
    <x v="1"/>
    <n v="1"/>
    <x v="4"/>
    <x v="0"/>
    <n v="1"/>
    <n v="683"/>
    <n v="2"/>
    <x v="1"/>
    <n v="42"/>
    <n v="3"/>
    <n v="1"/>
    <x v="1"/>
    <n v="4"/>
    <x v="1"/>
    <n v="2691"/>
    <n v="7660"/>
    <n v="1"/>
    <s v="Y"/>
    <s v="No"/>
    <n v="12"/>
    <n v="3"/>
    <n v="4"/>
    <n v="80"/>
    <n v="1"/>
    <n v="10"/>
    <n v="4"/>
    <n v="2"/>
    <n v="10"/>
    <n v="9"/>
    <n v="8"/>
    <n v="8"/>
    <n v="0"/>
    <x v="2"/>
  </r>
  <r>
    <n v="45"/>
    <x v="0"/>
    <s v="Travel_Frequently"/>
    <n v="306"/>
    <x v="0"/>
    <n v="26"/>
    <x v="2"/>
    <x v="0"/>
    <n v="1"/>
    <n v="684"/>
    <n v="1"/>
    <x v="0"/>
    <n v="100"/>
    <n v="3"/>
    <n v="2"/>
    <x v="0"/>
    <n v="1"/>
    <x v="1"/>
    <n v="4286"/>
    <n v="5630"/>
    <n v="2"/>
    <s v="Y"/>
    <s v="No"/>
    <n v="14"/>
    <n v="3"/>
    <n v="4"/>
    <n v="80"/>
    <n v="2"/>
    <n v="5"/>
    <n v="4"/>
    <n v="3"/>
    <n v="1"/>
    <n v="1"/>
    <n v="0"/>
    <n v="0"/>
    <n v="1"/>
    <x v="1"/>
  </r>
  <r>
    <n v="26"/>
    <x v="1"/>
    <s v="Travel_Rarely"/>
    <n v="991"/>
    <x v="1"/>
    <n v="6"/>
    <x v="3"/>
    <x v="0"/>
    <n v="1"/>
    <n v="686"/>
    <n v="3"/>
    <x v="0"/>
    <n v="71"/>
    <n v="3"/>
    <n v="1"/>
    <x v="2"/>
    <n v="4"/>
    <x v="1"/>
    <n v="2659"/>
    <n v="17759"/>
    <n v="1"/>
    <s v="Y"/>
    <s v="Yes"/>
    <n v="13"/>
    <n v="3"/>
    <n v="3"/>
    <n v="80"/>
    <n v="1"/>
    <n v="3"/>
    <n v="2"/>
    <n v="3"/>
    <n v="3"/>
    <n v="2"/>
    <n v="0"/>
    <n v="2"/>
    <n v="0"/>
    <x v="2"/>
  </r>
  <r>
    <n v="37"/>
    <x v="1"/>
    <s v="Travel_Rarely"/>
    <n v="482"/>
    <x v="1"/>
    <n v="3"/>
    <x v="3"/>
    <x v="1"/>
    <n v="1"/>
    <n v="689"/>
    <n v="3"/>
    <x v="1"/>
    <n v="36"/>
    <n v="3"/>
    <n v="3"/>
    <x v="3"/>
    <n v="3"/>
    <x v="1"/>
    <n v="9434"/>
    <n v="9606"/>
    <n v="1"/>
    <s v="Y"/>
    <s v="No"/>
    <n v="15"/>
    <n v="3"/>
    <n v="3"/>
    <n v="80"/>
    <n v="1"/>
    <n v="10"/>
    <n v="2"/>
    <n v="3"/>
    <n v="10"/>
    <n v="7"/>
    <n v="7"/>
    <n v="8"/>
    <n v="0"/>
    <x v="0"/>
  </r>
  <r>
    <n v="29"/>
    <x v="1"/>
    <s v="Travel_Rarely"/>
    <n v="1176"/>
    <x v="0"/>
    <n v="3"/>
    <x v="0"/>
    <x v="2"/>
    <n v="1"/>
    <n v="690"/>
    <n v="2"/>
    <x v="0"/>
    <n v="62"/>
    <n v="3"/>
    <n v="2"/>
    <x v="0"/>
    <n v="3"/>
    <x v="1"/>
    <n v="5561"/>
    <n v="3487"/>
    <n v="1"/>
    <s v="Y"/>
    <s v="No"/>
    <n v="14"/>
    <n v="3"/>
    <n v="1"/>
    <n v="80"/>
    <n v="1"/>
    <n v="6"/>
    <n v="5"/>
    <n v="2"/>
    <n v="6"/>
    <n v="0"/>
    <n v="1"/>
    <n v="2"/>
    <n v="0"/>
    <x v="2"/>
  </r>
  <r>
    <n v="35"/>
    <x v="1"/>
    <s v="Travel_Rarely"/>
    <n v="1017"/>
    <x v="1"/>
    <n v="6"/>
    <x v="2"/>
    <x v="0"/>
    <n v="1"/>
    <n v="691"/>
    <n v="2"/>
    <x v="1"/>
    <n v="82"/>
    <n v="1"/>
    <n v="2"/>
    <x v="1"/>
    <n v="4"/>
    <x v="0"/>
    <n v="6646"/>
    <n v="19368"/>
    <n v="1"/>
    <s v="Y"/>
    <s v="No"/>
    <n v="13"/>
    <n v="3"/>
    <n v="2"/>
    <n v="80"/>
    <n v="0"/>
    <n v="17"/>
    <n v="3"/>
    <n v="3"/>
    <n v="17"/>
    <n v="11"/>
    <n v="11"/>
    <n v="8"/>
    <n v="0"/>
    <x v="0"/>
  </r>
  <r>
    <n v="33"/>
    <x v="1"/>
    <s v="Travel_Frequently"/>
    <n v="1296"/>
    <x v="1"/>
    <n v="6"/>
    <x v="3"/>
    <x v="0"/>
    <n v="1"/>
    <n v="692"/>
    <n v="3"/>
    <x v="1"/>
    <n v="30"/>
    <n v="3"/>
    <n v="2"/>
    <x v="4"/>
    <n v="4"/>
    <x v="2"/>
    <n v="7725"/>
    <n v="5335"/>
    <n v="3"/>
    <s v="Y"/>
    <s v="No"/>
    <n v="23"/>
    <n v="4"/>
    <n v="3"/>
    <n v="80"/>
    <n v="1"/>
    <n v="15"/>
    <n v="2"/>
    <n v="1"/>
    <n v="13"/>
    <n v="11"/>
    <n v="4"/>
    <n v="7"/>
    <n v="0"/>
    <x v="2"/>
  </r>
  <r>
    <n v="54"/>
    <x v="1"/>
    <s v="Travel_Rarely"/>
    <n v="397"/>
    <x v="2"/>
    <n v="19"/>
    <x v="2"/>
    <x v="2"/>
    <n v="1"/>
    <n v="698"/>
    <n v="3"/>
    <x v="1"/>
    <n v="88"/>
    <n v="3"/>
    <n v="3"/>
    <x v="8"/>
    <n v="2"/>
    <x v="1"/>
    <n v="10725"/>
    <n v="6729"/>
    <n v="2"/>
    <s v="Y"/>
    <s v="No"/>
    <n v="15"/>
    <n v="3"/>
    <n v="3"/>
    <n v="80"/>
    <n v="1"/>
    <n v="16"/>
    <n v="1"/>
    <n v="4"/>
    <n v="9"/>
    <n v="7"/>
    <n v="7"/>
    <n v="1"/>
    <n v="0"/>
    <x v="1"/>
  </r>
  <r>
    <n v="36"/>
    <x v="1"/>
    <s v="Travel_Rarely"/>
    <n v="913"/>
    <x v="1"/>
    <n v="9"/>
    <x v="0"/>
    <x v="2"/>
    <n v="1"/>
    <n v="699"/>
    <n v="2"/>
    <x v="1"/>
    <n v="48"/>
    <n v="2"/>
    <n v="2"/>
    <x v="3"/>
    <n v="2"/>
    <x v="2"/>
    <n v="8847"/>
    <n v="13934"/>
    <n v="2"/>
    <s v="Y"/>
    <s v="Yes"/>
    <n v="11"/>
    <n v="3"/>
    <n v="3"/>
    <n v="80"/>
    <n v="1"/>
    <n v="13"/>
    <n v="2"/>
    <n v="3"/>
    <n v="3"/>
    <n v="2"/>
    <n v="0"/>
    <n v="2"/>
    <n v="0"/>
    <x v="0"/>
  </r>
  <r>
    <n v="27"/>
    <x v="1"/>
    <s v="Travel_Rarely"/>
    <n v="1115"/>
    <x v="1"/>
    <n v="3"/>
    <x v="2"/>
    <x v="2"/>
    <n v="1"/>
    <n v="700"/>
    <n v="1"/>
    <x v="1"/>
    <n v="54"/>
    <n v="2"/>
    <n v="1"/>
    <x v="1"/>
    <n v="4"/>
    <x v="0"/>
    <n v="2045"/>
    <n v="15174"/>
    <n v="0"/>
    <s v="Y"/>
    <s v="No"/>
    <n v="13"/>
    <n v="3"/>
    <n v="4"/>
    <n v="80"/>
    <n v="0"/>
    <n v="5"/>
    <n v="0"/>
    <n v="3"/>
    <n v="4"/>
    <n v="2"/>
    <n v="1"/>
    <n v="1"/>
    <n v="0"/>
    <x v="2"/>
  </r>
  <r>
    <n v="20"/>
    <x v="0"/>
    <s v="Travel_Rarely"/>
    <n v="1362"/>
    <x v="1"/>
    <n v="10"/>
    <x v="1"/>
    <x v="2"/>
    <n v="1"/>
    <n v="701"/>
    <n v="4"/>
    <x v="1"/>
    <n v="32"/>
    <n v="3"/>
    <n v="1"/>
    <x v="1"/>
    <n v="3"/>
    <x v="0"/>
    <n v="1009"/>
    <n v="26999"/>
    <n v="1"/>
    <s v="Y"/>
    <s v="Yes"/>
    <n v="11"/>
    <n v="3"/>
    <n v="4"/>
    <n v="80"/>
    <n v="0"/>
    <n v="1"/>
    <n v="5"/>
    <n v="3"/>
    <n v="1"/>
    <n v="0"/>
    <n v="1"/>
    <n v="1"/>
    <n v="1"/>
    <x v="4"/>
  </r>
  <r>
    <n v="33"/>
    <x v="0"/>
    <s v="Travel_Frequently"/>
    <n v="1076"/>
    <x v="1"/>
    <n v="3"/>
    <x v="3"/>
    <x v="0"/>
    <n v="1"/>
    <n v="702"/>
    <n v="1"/>
    <x v="1"/>
    <n v="70"/>
    <n v="3"/>
    <n v="1"/>
    <x v="1"/>
    <n v="1"/>
    <x v="0"/>
    <n v="3348"/>
    <n v="3164"/>
    <n v="1"/>
    <s v="Y"/>
    <s v="Yes"/>
    <n v="11"/>
    <n v="3"/>
    <n v="1"/>
    <n v="80"/>
    <n v="0"/>
    <n v="10"/>
    <n v="3"/>
    <n v="3"/>
    <n v="10"/>
    <n v="8"/>
    <n v="9"/>
    <n v="7"/>
    <n v="1"/>
    <x v="2"/>
  </r>
  <r>
    <n v="35"/>
    <x v="1"/>
    <s v="Non-Travel"/>
    <n v="727"/>
    <x v="1"/>
    <n v="3"/>
    <x v="3"/>
    <x v="0"/>
    <n v="1"/>
    <n v="704"/>
    <n v="3"/>
    <x v="1"/>
    <n v="41"/>
    <n v="2"/>
    <n v="1"/>
    <x v="2"/>
    <n v="3"/>
    <x v="1"/>
    <n v="1281"/>
    <n v="16900"/>
    <n v="1"/>
    <s v="Y"/>
    <s v="No"/>
    <n v="18"/>
    <n v="3"/>
    <n v="3"/>
    <n v="80"/>
    <n v="2"/>
    <n v="1"/>
    <n v="3"/>
    <n v="3"/>
    <n v="1"/>
    <n v="0"/>
    <n v="0"/>
    <n v="0"/>
    <n v="0"/>
    <x v="0"/>
  </r>
  <r>
    <n v="23"/>
    <x v="1"/>
    <s v="Travel_Rarely"/>
    <n v="885"/>
    <x v="1"/>
    <n v="4"/>
    <x v="3"/>
    <x v="2"/>
    <n v="1"/>
    <n v="705"/>
    <n v="1"/>
    <x v="1"/>
    <n v="58"/>
    <n v="4"/>
    <n v="1"/>
    <x v="1"/>
    <n v="1"/>
    <x v="1"/>
    <n v="2819"/>
    <n v="8544"/>
    <n v="2"/>
    <s v="Y"/>
    <s v="No"/>
    <n v="16"/>
    <n v="3"/>
    <n v="1"/>
    <n v="80"/>
    <n v="1"/>
    <n v="5"/>
    <n v="3"/>
    <n v="4"/>
    <n v="3"/>
    <n v="2"/>
    <n v="0"/>
    <n v="2"/>
    <n v="0"/>
    <x v="4"/>
  </r>
  <r>
    <n v="25"/>
    <x v="1"/>
    <s v="Travel_Rarely"/>
    <n v="810"/>
    <x v="0"/>
    <n v="8"/>
    <x v="3"/>
    <x v="0"/>
    <n v="1"/>
    <n v="707"/>
    <n v="4"/>
    <x v="1"/>
    <n v="57"/>
    <n v="4"/>
    <n v="2"/>
    <x v="0"/>
    <n v="2"/>
    <x v="1"/>
    <n v="4851"/>
    <n v="15678"/>
    <n v="0"/>
    <s v="Y"/>
    <s v="No"/>
    <n v="22"/>
    <n v="4"/>
    <n v="3"/>
    <n v="80"/>
    <n v="1"/>
    <n v="4"/>
    <n v="4"/>
    <n v="3"/>
    <n v="3"/>
    <n v="2"/>
    <n v="1"/>
    <n v="2"/>
    <n v="0"/>
    <x v="2"/>
  </r>
  <r>
    <n v="38"/>
    <x v="1"/>
    <s v="Travel_Rarely"/>
    <n v="243"/>
    <x v="0"/>
    <n v="7"/>
    <x v="2"/>
    <x v="3"/>
    <n v="1"/>
    <n v="709"/>
    <n v="4"/>
    <x v="0"/>
    <n v="46"/>
    <n v="2"/>
    <n v="2"/>
    <x v="0"/>
    <n v="4"/>
    <x v="0"/>
    <n v="4028"/>
    <n v="7791"/>
    <n v="0"/>
    <s v="Y"/>
    <s v="No"/>
    <n v="20"/>
    <n v="4"/>
    <n v="1"/>
    <n v="80"/>
    <n v="0"/>
    <n v="8"/>
    <n v="2"/>
    <n v="3"/>
    <n v="7"/>
    <n v="7"/>
    <n v="0"/>
    <n v="5"/>
    <n v="0"/>
    <x v="0"/>
  </r>
  <r>
    <n v="29"/>
    <x v="1"/>
    <s v="Travel_Frequently"/>
    <n v="806"/>
    <x v="1"/>
    <n v="1"/>
    <x v="2"/>
    <x v="0"/>
    <n v="1"/>
    <n v="710"/>
    <n v="2"/>
    <x v="1"/>
    <n v="76"/>
    <n v="1"/>
    <n v="1"/>
    <x v="1"/>
    <n v="4"/>
    <x v="2"/>
    <n v="2720"/>
    <n v="18959"/>
    <n v="1"/>
    <s v="Y"/>
    <s v="No"/>
    <n v="18"/>
    <n v="3"/>
    <n v="4"/>
    <n v="80"/>
    <n v="1"/>
    <n v="10"/>
    <n v="5"/>
    <n v="3"/>
    <n v="10"/>
    <n v="7"/>
    <n v="2"/>
    <n v="8"/>
    <n v="0"/>
    <x v="2"/>
  </r>
  <r>
    <n v="48"/>
    <x v="1"/>
    <s v="Travel_Rarely"/>
    <n v="817"/>
    <x v="0"/>
    <n v="2"/>
    <x v="1"/>
    <x v="3"/>
    <n v="1"/>
    <n v="712"/>
    <n v="2"/>
    <x v="1"/>
    <n v="56"/>
    <n v="4"/>
    <n v="2"/>
    <x v="0"/>
    <n v="2"/>
    <x v="1"/>
    <n v="8120"/>
    <n v="18597"/>
    <n v="3"/>
    <s v="Y"/>
    <s v="No"/>
    <n v="12"/>
    <n v="3"/>
    <n v="4"/>
    <n v="80"/>
    <n v="0"/>
    <n v="12"/>
    <n v="3"/>
    <n v="3"/>
    <n v="2"/>
    <n v="2"/>
    <n v="2"/>
    <n v="2"/>
    <n v="0"/>
    <x v="1"/>
  </r>
  <r>
    <n v="27"/>
    <x v="1"/>
    <s v="Travel_Frequently"/>
    <n v="1410"/>
    <x v="0"/>
    <n v="3"/>
    <x v="1"/>
    <x v="2"/>
    <n v="1"/>
    <n v="714"/>
    <n v="4"/>
    <x v="0"/>
    <n v="71"/>
    <n v="4"/>
    <n v="2"/>
    <x v="0"/>
    <n v="4"/>
    <x v="2"/>
    <n v="4647"/>
    <n v="16673"/>
    <n v="1"/>
    <s v="Y"/>
    <s v="Yes"/>
    <n v="20"/>
    <n v="4"/>
    <n v="2"/>
    <n v="80"/>
    <n v="2"/>
    <n v="6"/>
    <n v="3"/>
    <n v="3"/>
    <n v="6"/>
    <n v="5"/>
    <n v="0"/>
    <n v="4"/>
    <n v="0"/>
    <x v="2"/>
  </r>
  <r>
    <n v="37"/>
    <x v="1"/>
    <s v="Travel_Rarely"/>
    <n v="1225"/>
    <x v="1"/>
    <n v="10"/>
    <x v="0"/>
    <x v="0"/>
    <n v="1"/>
    <n v="715"/>
    <n v="4"/>
    <x v="1"/>
    <n v="80"/>
    <n v="4"/>
    <n v="1"/>
    <x v="1"/>
    <n v="4"/>
    <x v="0"/>
    <n v="4680"/>
    <n v="15232"/>
    <n v="3"/>
    <s v="Y"/>
    <s v="No"/>
    <n v="17"/>
    <n v="3"/>
    <n v="1"/>
    <n v="80"/>
    <n v="0"/>
    <n v="4"/>
    <n v="2"/>
    <n v="3"/>
    <n v="1"/>
    <n v="0"/>
    <n v="0"/>
    <n v="0"/>
    <n v="0"/>
    <x v="0"/>
  </r>
  <r>
    <n v="50"/>
    <x v="1"/>
    <s v="Travel_Rarely"/>
    <n v="1207"/>
    <x v="1"/>
    <n v="28"/>
    <x v="1"/>
    <x v="2"/>
    <n v="1"/>
    <n v="716"/>
    <n v="4"/>
    <x v="1"/>
    <n v="74"/>
    <n v="4"/>
    <n v="1"/>
    <x v="2"/>
    <n v="3"/>
    <x v="1"/>
    <n v="3221"/>
    <n v="3297"/>
    <n v="1"/>
    <s v="Y"/>
    <s v="Yes"/>
    <n v="11"/>
    <n v="3"/>
    <n v="3"/>
    <n v="80"/>
    <n v="3"/>
    <n v="20"/>
    <n v="3"/>
    <n v="3"/>
    <n v="20"/>
    <n v="8"/>
    <n v="3"/>
    <n v="8"/>
    <n v="0"/>
    <x v="1"/>
  </r>
  <r>
    <n v="34"/>
    <x v="1"/>
    <s v="Travel_Rarely"/>
    <n v="1442"/>
    <x v="1"/>
    <n v="9"/>
    <x v="3"/>
    <x v="2"/>
    <n v="1"/>
    <n v="717"/>
    <n v="4"/>
    <x v="0"/>
    <n v="46"/>
    <n v="2"/>
    <n v="3"/>
    <x v="4"/>
    <n v="2"/>
    <x v="0"/>
    <n v="8621"/>
    <n v="17654"/>
    <n v="1"/>
    <s v="Y"/>
    <s v="No"/>
    <n v="14"/>
    <n v="3"/>
    <n v="2"/>
    <n v="80"/>
    <n v="0"/>
    <n v="9"/>
    <n v="3"/>
    <n v="4"/>
    <n v="8"/>
    <n v="7"/>
    <n v="7"/>
    <n v="7"/>
    <n v="0"/>
    <x v="2"/>
  </r>
  <r>
    <n v="24"/>
    <x v="0"/>
    <s v="Travel_Rarely"/>
    <n v="693"/>
    <x v="0"/>
    <n v="3"/>
    <x v="0"/>
    <x v="0"/>
    <n v="1"/>
    <n v="720"/>
    <n v="1"/>
    <x v="0"/>
    <n v="65"/>
    <n v="3"/>
    <n v="2"/>
    <x v="0"/>
    <n v="3"/>
    <x v="0"/>
    <n v="4577"/>
    <n v="24785"/>
    <n v="9"/>
    <s v="Y"/>
    <s v="No"/>
    <n v="14"/>
    <n v="3"/>
    <n v="1"/>
    <n v="80"/>
    <n v="0"/>
    <n v="4"/>
    <n v="3"/>
    <n v="3"/>
    <n v="2"/>
    <n v="2"/>
    <n v="2"/>
    <n v="0"/>
    <n v="1"/>
    <x v="4"/>
  </r>
  <r>
    <n v="39"/>
    <x v="1"/>
    <s v="Travel_Rarely"/>
    <n v="408"/>
    <x v="1"/>
    <n v="2"/>
    <x v="2"/>
    <x v="4"/>
    <n v="1"/>
    <n v="721"/>
    <n v="4"/>
    <x v="0"/>
    <n v="80"/>
    <n v="2"/>
    <n v="2"/>
    <x v="4"/>
    <n v="3"/>
    <x v="0"/>
    <n v="4553"/>
    <n v="20978"/>
    <n v="1"/>
    <s v="Y"/>
    <s v="No"/>
    <n v="11"/>
    <n v="3"/>
    <n v="1"/>
    <n v="80"/>
    <n v="0"/>
    <n v="20"/>
    <n v="4"/>
    <n v="3"/>
    <n v="20"/>
    <n v="7"/>
    <n v="11"/>
    <n v="10"/>
    <n v="0"/>
    <x v="0"/>
  </r>
  <r>
    <n v="32"/>
    <x v="1"/>
    <s v="Travel_Rarely"/>
    <n v="929"/>
    <x v="0"/>
    <n v="10"/>
    <x v="3"/>
    <x v="3"/>
    <n v="1"/>
    <n v="722"/>
    <n v="4"/>
    <x v="1"/>
    <n v="55"/>
    <n v="3"/>
    <n v="2"/>
    <x v="0"/>
    <n v="4"/>
    <x v="0"/>
    <n v="5396"/>
    <n v="21703"/>
    <n v="1"/>
    <s v="Y"/>
    <s v="No"/>
    <n v="12"/>
    <n v="3"/>
    <n v="4"/>
    <n v="80"/>
    <n v="0"/>
    <n v="10"/>
    <n v="2"/>
    <n v="2"/>
    <n v="10"/>
    <n v="7"/>
    <n v="0"/>
    <n v="8"/>
    <n v="0"/>
    <x v="2"/>
  </r>
  <r>
    <n v="50"/>
    <x v="0"/>
    <s v="Travel_Frequently"/>
    <n v="562"/>
    <x v="0"/>
    <n v="8"/>
    <x v="0"/>
    <x v="4"/>
    <n v="1"/>
    <n v="723"/>
    <n v="2"/>
    <x v="1"/>
    <n v="50"/>
    <n v="3"/>
    <n v="2"/>
    <x v="0"/>
    <n v="3"/>
    <x v="1"/>
    <n v="6796"/>
    <n v="23452"/>
    <n v="3"/>
    <s v="Y"/>
    <s v="Yes"/>
    <n v="14"/>
    <n v="3"/>
    <n v="1"/>
    <n v="80"/>
    <n v="1"/>
    <n v="18"/>
    <n v="4"/>
    <n v="3"/>
    <n v="4"/>
    <n v="3"/>
    <n v="1"/>
    <n v="3"/>
    <n v="1"/>
    <x v="1"/>
  </r>
  <r>
    <n v="38"/>
    <x v="1"/>
    <s v="Travel_Rarely"/>
    <n v="827"/>
    <x v="1"/>
    <n v="1"/>
    <x v="2"/>
    <x v="0"/>
    <n v="1"/>
    <n v="724"/>
    <n v="2"/>
    <x v="0"/>
    <n v="33"/>
    <n v="4"/>
    <n v="2"/>
    <x v="4"/>
    <n v="4"/>
    <x v="0"/>
    <n v="7625"/>
    <n v="19383"/>
    <n v="0"/>
    <s v="Y"/>
    <s v="No"/>
    <n v="13"/>
    <n v="3"/>
    <n v="3"/>
    <n v="80"/>
    <n v="0"/>
    <n v="10"/>
    <n v="4"/>
    <n v="2"/>
    <n v="9"/>
    <n v="7"/>
    <n v="1"/>
    <n v="8"/>
    <n v="0"/>
    <x v="0"/>
  </r>
  <r>
    <n v="27"/>
    <x v="1"/>
    <s v="Travel_Rarely"/>
    <n v="608"/>
    <x v="1"/>
    <n v="1"/>
    <x v="0"/>
    <x v="0"/>
    <n v="1"/>
    <n v="725"/>
    <n v="3"/>
    <x v="0"/>
    <n v="68"/>
    <n v="3"/>
    <n v="3"/>
    <x v="3"/>
    <n v="1"/>
    <x v="1"/>
    <n v="7412"/>
    <n v="6009"/>
    <n v="1"/>
    <s v="Y"/>
    <s v="No"/>
    <n v="11"/>
    <n v="3"/>
    <n v="4"/>
    <n v="80"/>
    <n v="0"/>
    <n v="9"/>
    <n v="3"/>
    <n v="3"/>
    <n v="9"/>
    <n v="7"/>
    <n v="0"/>
    <n v="7"/>
    <n v="0"/>
    <x v="2"/>
  </r>
  <r>
    <n v="32"/>
    <x v="1"/>
    <s v="Travel_Rarely"/>
    <n v="1018"/>
    <x v="1"/>
    <n v="3"/>
    <x v="0"/>
    <x v="0"/>
    <n v="1"/>
    <n v="727"/>
    <n v="3"/>
    <x v="0"/>
    <n v="39"/>
    <n v="3"/>
    <n v="3"/>
    <x v="7"/>
    <n v="4"/>
    <x v="0"/>
    <n v="11159"/>
    <n v="19373"/>
    <n v="3"/>
    <s v="Y"/>
    <s v="No"/>
    <n v="15"/>
    <n v="3"/>
    <n v="4"/>
    <n v="80"/>
    <n v="0"/>
    <n v="10"/>
    <n v="6"/>
    <n v="3"/>
    <n v="7"/>
    <n v="7"/>
    <n v="7"/>
    <n v="7"/>
    <n v="0"/>
    <x v="2"/>
  </r>
  <r>
    <n v="47"/>
    <x v="1"/>
    <s v="Travel_Rarely"/>
    <n v="703"/>
    <x v="0"/>
    <n v="14"/>
    <x v="2"/>
    <x v="3"/>
    <n v="1"/>
    <n v="728"/>
    <n v="4"/>
    <x v="1"/>
    <n v="42"/>
    <n v="3"/>
    <n v="2"/>
    <x v="0"/>
    <n v="1"/>
    <x v="0"/>
    <n v="4960"/>
    <n v="11825"/>
    <n v="2"/>
    <s v="Y"/>
    <s v="No"/>
    <n v="12"/>
    <n v="3"/>
    <n v="4"/>
    <n v="80"/>
    <n v="0"/>
    <n v="20"/>
    <n v="2"/>
    <n v="3"/>
    <n v="7"/>
    <n v="7"/>
    <n v="1"/>
    <n v="7"/>
    <n v="0"/>
    <x v="1"/>
  </r>
  <r>
    <n v="40"/>
    <x v="1"/>
    <s v="Travel_Frequently"/>
    <n v="580"/>
    <x v="0"/>
    <n v="5"/>
    <x v="2"/>
    <x v="0"/>
    <n v="1"/>
    <n v="729"/>
    <n v="4"/>
    <x v="1"/>
    <n v="48"/>
    <n v="2"/>
    <n v="3"/>
    <x v="0"/>
    <n v="1"/>
    <x v="1"/>
    <n v="10475"/>
    <n v="23772"/>
    <n v="5"/>
    <s v="Y"/>
    <s v="Yes"/>
    <n v="21"/>
    <n v="4"/>
    <n v="3"/>
    <n v="80"/>
    <n v="1"/>
    <n v="20"/>
    <n v="2"/>
    <n v="3"/>
    <n v="18"/>
    <n v="13"/>
    <n v="1"/>
    <n v="12"/>
    <n v="0"/>
    <x v="0"/>
  </r>
  <r>
    <n v="53"/>
    <x v="1"/>
    <s v="Travel_Rarely"/>
    <n v="970"/>
    <x v="1"/>
    <n v="7"/>
    <x v="3"/>
    <x v="0"/>
    <n v="1"/>
    <n v="730"/>
    <n v="3"/>
    <x v="1"/>
    <n v="59"/>
    <n v="4"/>
    <n v="4"/>
    <x v="7"/>
    <n v="3"/>
    <x v="1"/>
    <n v="14814"/>
    <n v="13514"/>
    <n v="3"/>
    <s v="Y"/>
    <s v="No"/>
    <n v="19"/>
    <n v="3"/>
    <n v="3"/>
    <n v="80"/>
    <n v="0"/>
    <n v="32"/>
    <n v="3"/>
    <n v="3"/>
    <n v="5"/>
    <n v="1"/>
    <n v="1"/>
    <n v="3"/>
    <n v="0"/>
    <x v="1"/>
  </r>
  <r>
    <n v="41"/>
    <x v="1"/>
    <s v="Travel_Rarely"/>
    <n v="427"/>
    <x v="2"/>
    <n v="10"/>
    <x v="2"/>
    <x v="5"/>
    <n v="1"/>
    <n v="731"/>
    <n v="2"/>
    <x v="1"/>
    <n v="73"/>
    <n v="2"/>
    <n v="5"/>
    <x v="5"/>
    <n v="4"/>
    <x v="2"/>
    <n v="19141"/>
    <n v="8861"/>
    <n v="3"/>
    <s v="Y"/>
    <s v="No"/>
    <n v="15"/>
    <n v="3"/>
    <n v="2"/>
    <n v="80"/>
    <n v="3"/>
    <n v="23"/>
    <n v="2"/>
    <n v="2"/>
    <n v="21"/>
    <n v="6"/>
    <n v="12"/>
    <n v="6"/>
    <n v="0"/>
    <x v="0"/>
  </r>
  <r>
    <n v="60"/>
    <x v="1"/>
    <s v="Travel_Rarely"/>
    <n v="1179"/>
    <x v="0"/>
    <n v="16"/>
    <x v="2"/>
    <x v="3"/>
    <n v="1"/>
    <n v="732"/>
    <n v="1"/>
    <x v="1"/>
    <n v="84"/>
    <n v="3"/>
    <n v="2"/>
    <x v="0"/>
    <n v="1"/>
    <x v="0"/>
    <n v="5405"/>
    <n v="11924"/>
    <n v="8"/>
    <s v="Y"/>
    <s v="No"/>
    <n v="14"/>
    <n v="3"/>
    <n v="4"/>
    <n v="80"/>
    <n v="0"/>
    <n v="10"/>
    <n v="1"/>
    <n v="3"/>
    <n v="2"/>
    <n v="2"/>
    <n v="2"/>
    <n v="2"/>
    <n v="0"/>
    <x v="3"/>
  </r>
  <r>
    <n v="27"/>
    <x v="1"/>
    <s v="Travel_Frequently"/>
    <n v="294"/>
    <x v="1"/>
    <n v="10"/>
    <x v="0"/>
    <x v="0"/>
    <n v="1"/>
    <n v="733"/>
    <n v="4"/>
    <x v="1"/>
    <n v="32"/>
    <n v="3"/>
    <n v="3"/>
    <x v="3"/>
    <n v="1"/>
    <x v="2"/>
    <n v="8793"/>
    <n v="4809"/>
    <n v="1"/>
    <s v="Y"/>
    <s v="No"/>
    <n v="21"/>
    <n v="4"/>
    <n v="3"/>
    <n v="80"/>
    <n v="2"/>
    <n v="9"/>
    <n v="4"/>
    <n v="2"/>
    <n v="9"/>
    <n v="7"/>
    <n v="1"/>
    <n v="7"/>
    <n v="0"/>
    <x v="2"/>
  </r>
  <r>
    <n v="41"/>
    <x v="1"/>
    <s v="Travel_Rarely"/>
    <n v="314"/>
    <x v="2"/>
    <n v="1"/>
    <x v="3"/>
    <x v="5"/>
    <n v="1"/>
    <n v="734"/>
    <n v="4"/>
    <x v="1"/>
    <n v="59"/>
    <n v="2"/>
    <n v="5"/>
    <x v="5"/>
    <n v="3"/>
    <x v="1"/>
    <n v="19189"/>
    <n v="19562"/>
    <n v="1"/>
    <s v="Y"/>
    <s v="No"/>
    <n v="12"/>
    <n v="3"/>
    <n v="2"/>
    <n v="80"/>
    <n v="1"/>
    <n v="22"/>
    <n v="3"/>
    <n v="3"/>
    <n v="22"/>
    <n v="7"/>
    <n v="2"/>
    <n v="10"/>
    <n v="0"/>
    <x v="0"/>
  </r>
  <r>
    <n v="50"/>
    <x v="1"/>
    <s v="Travel_Rarely"/>
    <n v="316"/>
    <x v="0"/>
    <n v="8"/>
    <x v="2"/>
    <x v="3"/>
    <n v="1"/>
    <n v="738"/>
    <n v="4"/>
    <x v="1"/>
    <n v="54"/>
    <n v="3"/>
    <n v="1"/>
    <x v="6"/>
    <n v="2"/>
    <x v="1"/>
    <n v="3875"/>
    <n v="9983"/>
    <n v="7"/>
    <s v="Y"/>
    <s v="No"/>
    <n v="15"/>
    <n v="3"/>
    <n v="4"/>
    <n v="80"/>
    <n v="1"/>
    <n v="4"/>
    <n v="2"/>
    <n v="3"/>
    <n v="2"/>
    <n v="2"/>
    <n v="2"/>
    <n v="2"/>
    <n v="0"/>
    <x v="1"/>
  </r>
  <r>
    <n v="28"/>
    <x v="0"/>
    <s v="Travel_Rarely"/>
    <n v="654"/>
    <x v="1"/>
    <n v="1"/>
    <x v="0"/>
    <x v="0"/>
    <n v="1"/>
    <n v="741"/>
    <n v="1"/>
    <x v="0"/>
    <n v="67"/>
    <n v="1"/>
    <n v="1"/>
    <x v="1"/>
    <n v="2"/>
    <x v="0"/>
    <n v="2216"/>
    <n v="3872"/>
    <n v="7"/>
    <s v="Y"/>
    <s v="Yes"/>
    <n v="13"/>
    <n v="3"/>
    <n v="4"/>
    <n v="80"/>
    <n v="0"/>
    <n v="10"/>
    <n v="4"/>
    <n v="3"/>
    <n v="7"/>
    <n v="7"/>
    <n v="3"/>
    <n v="7"/>
    <n v="1"/>
    <x v="2"/>
  </r>
  <r>
    <n v="36"/>
    <x v="1"/>
    <s v="Non-Travel"/>
    <n v="427"/>
    <x v="1"/>
    <n v="8"/>
    <x v="3"/>
    <x v="0"/>
    <n v="1"/>
    <n v="742"/>
    <n v="1"/>
    <x v="0"/>
    <n v="63"/>
    <n v="4"/>
    <n v="3"/>
    <x v="7"/>
    <n v="1"/>
    <x v="1"/>
    <n v="11713"/>
    <n v="20335"/>
    <n v="9"/>
    <s v="Y"/>
    <s v="No"/>
    <n v="14"/>
    <n v="3"/>
    <n v="1"/>
    <n v="80"/>
    <n v="1"/>
    <n v="10"/>
    <n v="2"/>
    <n v="3"/>
    <n v="8"/>
    <n v="7"/>
    <n v="0"/>
    <n v="5"/>
    <n v="0"/>
    <x v="0"/>
  </r>
  <r>
    <n v="38"/>
    <x v="1"/>
    <s v="Travel_Rarely"/>
    <n v="168"/>
    <x v="1"/>
    <n v="1"/>
    <x v="3"/>
    <x v="0"/>
    <n v="1"/>
    <n v="743"/>
    <n v="3"/>
    <x v="0"/>
    <n v="81"/>
    <n v="3"/>
    <n v="3"/>
    <x v="3"/>
    <n v="3"/>
    <x v="0"/>
    <n v="7861"/>
    <n v="15397"/>
    <n v="4"/>
    <s v="Y"/>
    <s v="Yes"/>
    <n v="14"/>
    <n v="3"/>
    <n v="4"/>
    <n v="80"/>
    <n v="0"/>
    <n v="10"/>
    <n v="4"/>
    <n v="4"/>
    <n v="1"/>
    <n v="0"/>
    <n v="0"/>
    <n v="0"/>
    <n v="0"/>
    <x v="0"/>
  </r>
  <r>
    <n v="44"/>
    <x v="1"/>
    <s v="Non-Travel"/>
    <n v="381"/>
    <x v="1"/>
    <n v="24"/>
    <x v="3"/>
    <x v="2"/>
    <n v="1"/>
    <n v="744"/>
    <n v="1"/>
    <x v="1"/>
    <n v="49"/>
    <n v="1"/>
    <n v="1"/>
    <x v="2"/>
    <n v="3"/>
    <x v="0"/>
    <n v="3708"/>
    <n v="2104"/>
    <n v="2"/>
    <s v="Y"/>
    <s v="No"/>
    <n v="14"/>
    <n v="3"/>
    <n v="3"/>
    <n v="80"/>
    <n v="0"/>
    <n v="9"/>
    <n v="5"/>
    <n v="3"/>
    <n v="5"/>
    <n v="2"/>
    <n v="1"/>
    <n v="4"/>
    <n v="0"/>
    <x v="0"/>
  </r>
  <r>
    <n v="47"/>
    <x v="1"/>
    <s v="Travel_Frequently"/>
    <n v="217"/>
    <x v="0"/>
    <n v="3"/>
    <x v="3"/>
    <x v="2"/>
    <n v="1"/>
    <n v="746"/>
    <n v="4"/>
    <x v="0"/>
    <n v="49"/>
    <n v="3"/>
    <n v="4"/>
    <x v="0"/>
    <n v="3"/>
    <x v="2"/>
    <n v="13770"/>
    <n v="10225"/>
    <n v="9"/>
    <s v="Y"/>
    <s v="Yes"/>
    <n v="12"/>
    <n v="3"/>
    <n v="4"/>
    <n v="80"/>
    <n v="2"/>
    <n v="28"/>
    <n v="2"/>
    <n v="2"/>
    <n v="22"/>
    <n v="2"/>
    <n v="11"/>
    <n v="13"/>
    <n v="0"/>
    <x v="1"/>
  </r>
  <r>
    <n v="30"/>
    <x v="1"/>
    <s v="Travel_Rarely"/>
    <n v="501"/>
    <x v="0"/>
    <n v="27"/>
    <x v="4"/>
    <x v="3"/>
    <n v="1"/>
    <n v="747"/>
    <n v="3"/>
    <x v="1"/>
    <n v="99"/>
    <n v="3"/>
    <n v="2"/>
    <x v="0"/>
    <n v="4"/>
    <x v="2"/>
    <n v="5304"/>
    <n v="25275"/>
    <n v="7"/>
    <s v="Y"/>
    <s v="No"/>
    <n v="23"/>
    <n v="4"/>
    <n v="4"/>
    <n v="80"/>
    <n v="1"/>
    <n v="10"/>
    <n v="2"/>
    <n v="2"/>
    <n v="8"/>
    <n v="7"/>
    <n v="7"/>
    <n v="7"/>
    <n v="0"/>
    <x v="2"/>
  </r>
  <r>
    <n v="29"/>
    <x v="1"/>
    <s v="Travel_Rarely"/>
    <n v="1396"/>
    <x v="0"/>
    <n v="10"/>
    <x v="3"/>
    <x v="0"/>
    <n v="1"/>
    <n v="749"/>
    <n v="3"/>
    <x v="1"/>
    <n v="99"/>
    <n v="3"/>
    <n v="1"/>
    <x v="6"/>
    <n v="3"/>
    <x v="0"/>
    <n v="2642"/>
    <n v="2755"/>
    <n v="1"/>
    <s v="Y"/>
    <s v="No"/>
    <n v="11"/>
    <n v="3"/>
    <n v="3"/>
    <n v="80"/>
    <n v="0"/>
    <n v="1"/>
    <n v="6"/>
    <n v="3"/>
    <n v="1"/>
    <n v="0"/>
    <n v="0"/>
    <n v="0"/>
    <n v="0"/>
    <x v="2"/>
  </r>
  <r>
    <n v="42"/>
    <x v="0"/>
    <s v="Travel_Frequently"/>
    <n v="933"/>
    <x v="1"/>
    <n v="19"/>
    <x v="3"/>
    <x v="2"/>
    <n v="1"/>
    <n v="752"/>
    <n v="3"/>
    <x v="1"/>
    <n v="57"/>
    <n v="4"/>
    <n v="1"/>
    <x v="1"/>
    <n v="3"/>
    <x v="2"/>
    <n v="2759"/>
    <n v="20366"/>
    <n v="6"/>
    <s v="Y"/>
    <s v="Yes"/>
    <n v="12"/>
    <n v="3"/>
    <n v="4"/>
    <n v="80"/>
    <n v="0"/>
    <n v="7"/>
    <n v="2"/>
    <n v="3"/>
    <n v="2"/>
    <n v="2"/>
    <n v="2"/>
    <n v="2"/>
    <n v="1"/>
    <x v="0"/>
  </r>
  <r>
    <n v="43"/>
    <x v="1"/>
    <s v="Travel_Frequently"/>
    <n v="775"/>
    <x v="0"/>
    <n v="15"/>
    <x v="3"/>
    <x v="0"/>
    <n v="1"/>
    <n v="754"/>
    <n v="4"/>
    <x v="1"/>
    <n v="47"/>
    <n v="2"/>
    <n v="2"/>
    <x v="0"/>
    <n v="4"/>
    <x v="1"/>
    <n v="6804"/>
    <n v="23683"/>
    <n v="3"/>
    <s v="Y"/>
    <s v="No"/>
    <n v="18"/>
    <n v="3"/>
    <n v="3"/>
    <n v="80"/>
    <n v="1"/>
    <n v="7"/>
    <n v="5"/>
    <n v="3"/>
    <n v="2"/>
    <n v="2"/>
    <n v="2"/>
    <n v="2"/>
    <n v="0"/>
    <x v="0"/>
  </r>
  <r>
    <n v="34"/>
    <x v="1"/>
    <s v="Travel_Rarely"/>
    <n v="970"/>
    <x v="1"/>
    <n v="8"/>
    <x v="0"/>
    <x v="2"/>
    <n v="1"/>
    <n v="757"/>
    <n v="2"/>
    <x v="0"/>
    <n v="96"/>
    <n v="3"/>
    <n v="2"/>
    <x v="4"/>
    <n v="3"/>
    <x v="0"/>
    <n v="6142"/>
    <n v="7360"/>
    <n v="3"/>
    <s v="Y"/>
    <s v="No"/>
    <n v="11"/>
    <n v="3"/>
    <n v="4"/>
    <n v="80"/>
    <n v="0"/>
    <n v="10"/>
    <n v="2"/>
    <n v="3"/>
    <n v="5"/>
    <n v="1"/>
    <n v="4"/>
    <n v="3"/>
    <n v="0"/>
    <x v="2"/>
  </r>
  <r>
    <n v="23"/>
    <x v="1"/>
    <s v="Travel_Rarely"/>
    <n v="650"/>
    <x v="1"/>
    <n v="9"/>
    <x v="1"/>
    <x v="2"/>
    <n v="1"/>
    <n v="758"/>
    <n v="2"/>
    <x v="1"/>
    <n v="37"/>
    <n v="3"/>
    <n v="1"/>
    <x v="2"/>
    <n v="1"/>
    <x v="1"/>
    <n v="2500"/>
    <n v="4344"/>
    <n v="1"/>
    <s v="Y"/>
    <s v="No"/>
    <n v="14"/>
    <n v="3"/>
    <n v="4"/>
    <n v="80"/>
    <n v="1"/>
    <n v="5"/>
    <n v="2"/>
    <n v="4"/>
    <n v="4"/>
    <n v="3"/>
    <n v="0"/>
    <n v="2"/>
    <n v="0"/>
    <x v="4"/>
  </r>
  <r>
    <n v="39"/>
    <x v="1"/>
    <s v="Travel_Rarely"/>
    <n v="141"/>
    <x v="2"/>
    <n v="3"/>
    <x v="3"/>
    <x v="5"/>
    <n v="1"/>
    <n v="760"/>
    <n v="3"/>
    <x v="0"/>
    <n v="44"/>
    <n v="4"/>
    <n v="2"/>
    <x v="8"/>
    <n v="2"/>
    <x v="1"/>
    <n v="6389"/>
    <n v="18767"/>
    <n v="9"/>
    <s v="Y"/>
    <s v="No"/>
    <n v="15"/>
    <n v="3"/>
    <n v="3"/>
    <n v="80"/>
    <n v="1"/>
    <n v="12"/>
    <n v="3"/>
    <n v="1"/>
    <n v="8"/>
    <n v="3"/>
    <n v="3"/>
    <n v="6"/>
    <n v="0"/>
    <x v="0"/>
  </r>
  <r>
    <n v="56"/>
    <x v="1"/>
    <s v="Travel_Rarely"/>
    <n v="832"/>
    <x v="1"/>
    <n v="9"/>
    <x v="3"/>
    <x v="2"/>
    <n v="1"/>
    <n v="762"/>
    <n v="3"/>
    <x v="1"/>
    <n v="81"/>
    <n v="3"/>
    <n v="4"/>
    <x v="4"/>
    <n v="4"/>
    <x v="1"/>
    <n v="11103"/>
    <n v="20420"/>
    <n v="7"/>
    <s v="Y"/>
    <s v="No"/>
    <n v="11"/>
    <n v="3"/>
    <n v="3"/>
    <n v="80"/>
    <n v="0"/>
    <n v="30"/>
    <n v="1"/>
    <n v="2"/>
    <n v="10"/>
    <n v="7"/>
    <n v="1"/>
    <n v="1"/>
    <n v="0"/>
    <x v="3"/>
  </r>
  <r>
    <n v="40"/>
    <x v="1"/>
    <s v="Travel_Rarely"/>
    <n v="804"/>
    <x v="1"/>
    <n v="2"/>
    <x v="1"/>
    <x v="2"/>
    <n v="1"/>
    <n v="763"/>
    <n v="4"/>
    <x v="0"/>
    <n v="86"/>
    <n v="2"/>
    <n v="1"/>
    <x v="1"/>
    <n v="4"/>
    <x v="0"/>
    <n v="2342"/>
    <n v="22929"/>
    <n v="0"/>
    <s v="Y"/>
    <s v="Yes"/>
    <n v="20"/>
    <n v="4"/>
    <n v="4"/>
    <n v="80"/>
    <n v="0"/>
    <n v="5"/>
    <n v="2"/>
    <n v="2"/>
    <n v="4"/>
    <n v="2"/>
    <n v="2"/>
    <n v="3"/>
    <n v="0"/>
    <x v="0"/>
  </r>
  <r>
    <n v="27"/>
    <x v="1"/>
    <s v="Travel_Rarely"/>
    <n v="975"/>
    <x v="1"/>
    <n v="7"/>
    <x v="3"/>
    <x v="2"/>
    <n v="1"/>
    <n v="764"/>
    <n v="4"/>
    <x v="0"/>
    <n v="55"/>
    <n v="2"/>
    <n v="2"/>
    <x v="4"/>
    <n v="1"/>
    <x v="0"/>
    <n v="6811"/>
    <n v="23398"/>
    <n v="8"/>
    <s v="Y"/>
    <s v="No"/>
    <n v="19"/>
    <n v="3"/>
    <n v="1"/>
    <n v="80"/>
    <n v="0"/>
    <n v="9"/>
    <n v="2"/>
    <n v="1"/>
    <n v="7"/>
    <n v="6"/>
    <n v="0"/>
    <n v="7"/>
    <n v="0"/>
    <x v="2"/>
  </r>
  <r>
    <n v="29"/>
    <x v="1"/>
    <s v="Travel_Rarely"/>
    <n v="1090"/>
    <x v="0"/>
    <n v="10"/>
    <x v="3"/>
    <x v="3"/>
    <n v="1"/>
    <n v="766"/>
    <n v="4"/>
    <x v="1"/>
    <n v="83"/>
    <n v="3"/>
    <n v="1"/>
    <x v="6"/>
    <n v="2"/>
    <x v="2"/>
    <n v="2297"/>
    <n v="17967"/>
    <n v="1"/>
    <s v="Y"/>
    <s v="No"/>
    <n v="14"/>
    <n v="3"/>
    <n v="4"/>
    <n v="80"/>
    <n v="2"/>
    <n v="2"/>
    <n v="2"/>
    <n v="3"/>
    <n v="2"/>
    <n v="2"/>
    <n v="2"/>
    <n v="2"/>
    <n v="0"/>
    <x v="2"/>
  </r>
  <r>
    <n v="53"/>
    <x v="1"/>
    <s v="Travel_Rarely"/>
    <n v="346"/>
    <x v="1"/>
    <n v="6"/>
    <x v="3"/>
    <x v="0"/>
    <n v="1"/>
    <n v="769"/>
    <n v="4"/>
    <x v="1"/>
    <n v="86"/>
    <n v="3"/>
    <n v="2"/>
    <x v="2"/>
    <n v="4"/>
    <x v="0"/>
    <n v="2450"/>
    <n v="10919"/>
    <n v="2"/>
    <s v="Y"/>
    <s v="No"/>
    <n v="17"/>
    <n v="3"/>
    <n v="4"/>
    <n v="80"/>
    <n v="0"/>
    <n v="19"/>
    <n v="4"/>
    <n v="3"/>
    <n v="2"/>
    <n v="2"/>
    <n v="2"/>
    <n v="2"/>
    <n v="0"/>
    <x v="1"/>
  </r>
  <r>
    <n v="35"/>
    <x v="1"/>
    <s v="Non-Travel"/>
    <n v="1225"/>
    <x v="1"/>
    <n v="2"/>
    <x v="2"/>
    <x v="0"/>
    <n v="1"/>
    <n v="771"/>
    <n v="4"/>
    <x v="0"/>
    <n v="61"/>
    <n v="3"/>
    <n v="2"/>
    <x v="4"/>
    <n v="1"/>
    <x v="2"/>
    <n v="5093"/>
    <n v="4761"/>
    <n v="2"/>
    <s v="Y"/>
    <s v="No"/>
    <n v="11"/>
    <n v="3"/>
    <n v="1"/>
    <n v="80"/>
    <n v="1"/>
    <n v="16"/>
    <n v="2"/>
    <n v="4"/>
    <n v="1"/>
    <n v="0"/>
    <n v="0"/>
    <n v="0"/>
    <n v="0"/>
    <x v="0"/>
  </r>
  <r>
    <n v="32"/>
    <x v="1"/>
    <s v="Travel_Frequently"/>
    <n v="430"/>
    <x v="1"/>
    <n v="24"/>
    <x v="2"/>
    <x v="0"/>
    <n v="1"/>
    <n v="772"/>
    <n v="1"/>
    <x v="1"/>
    <n v="80"/>
    <n v="3"/>
    <n v="2"/>
    <x v="2"/>
    <n v="4"/>
    <x v="1"/>
    <n v="5309"/>
    <n v="21146"/>
    <n v="1"/>
    <s v="Y"/>
    <s v="No"/>
    <n v="15"/>
    <n v="3"/>
    <n v="4"/>
    <n v="80"/>
    <n v="2"/>
    <n v="10"/>
    <n v="2"/>
    <n v="3"/>
    <n v="10"/>
    <n v="8"/>
    <n v="4"/>
    <n v="7"/>
    <n v="0"/>
    <x v="2"/>
  </r>
  <r>
    <n v="38"/>
    <x v="1"/>
    <s v="Travel_Rarely"/>
    <n v="268"/>
    <x v="1"/>
    <n v="2"/>
    <x v="4"/>
    <x v="2"/>
    <n v="1"/>
    <n v="773"/>
    <n v="4"/>
    <x v="1"/>
    <n v="92"/>
    <n v="3"/>
    <n v="1"/>
    <x v="1"/>
    <n v="3"/>
    <x v="1"/>
    <n v="3057"/>
    <n v="20471"/>
    <n v="6"/>
    <s v="Y"/>
    <s v="Yes"/>
    <n v="13"/>
    <n v="3"/>
    <n v="2"/>
    <n v="80"/>
    <n v="1"/>
    <n v="6"/>
    <n v="0"/>
    <n v="1"/>
    <n v="1"/>
    <n v="0"/>
    <n v="0"/>
    <n v="1"/>
    <n v="0"/>
    <x v="0"/>
  </r>
  <r>
    <n v="34"/>
    <x v="1"/>
    <s v="Travel_Rarely"/>
    <n v="167"/>
    <x v="1"/>
    <n v="8"/>
    <x v="4"/>
    <x v="0"/>
    <n v="1"/>
    <n v="775"/>
    <n v="2"/>
    <x v="0"/>
    <n v="32"/>
    <n v="3"/>
    <n v="2"/>
    <x v="3"/>
    <n v="1"/>
    <x v="2"/>
    <n v="5121"/>
    <n v="4187"/>
    <n v="3"/>
    <s v="Y"/>
    <s v="No"/>
    <n v="14"/>
    <n v="3"/>
    <n v="3"/>
    <n v="80"/>
    <n v="1"/>
    <n v="7"/>
    <n v="3"/>
    <n v="3"/>
    <n v="0"/>
    <n v="0"/>
    <n v="0"/>
    <n v="0"/>
    <n v="0"/>
    <x v="2"/>
  </r>
  <r>
    <n v="52"/>
    <x v="1"/>
    <s v="Travel_Rarely"/>
    <n v="621"/>
    <x v="0"/>
    <n v="3"/>
    <x v="2"/>
    <x v="3"/>
    <n v="1"/>
    <n v="776"/>
    <n v="3"/>
    <x v="1"/>
    <n v="31"/>
    <n v="2"/>
    <n v="4"/>
    <x v="5"/>
    <n v="1"/>
    <x v="1"/>
    <n v="16856"/>
    <n v="10084"/>
    <n v="1"/>
    <s v="Y"/>
    <s v="No"/>
    <n v="11"/>
    <n v="3"/>
    <n v="1"/>
    <n v="80"/>
    <n v="0"/>
    <n v="34"/>
    <n v="3"/>
    <n v="4"/>
    <n v="34"/>
    <n v="6"/>
    <n v="1"/>
    <n v="16"/>
    <n v="0"/>
    <x v="1"/>
  </r>
  <r>
    <n v="33"/>
    <x v="0"/>
    <s v="Travel_Rarely"/>
    <n v="527"/>
    <x v="1"/>
    <n v="1"/>
    <x v="2"/>
    <x v="1"/>
    <n v="1"/>
    <n v="780"/>
    <n v="4"/>
    <x v="1"/>
    <n v="63"/>
    <n v="3"/>
    <n v="1"/>
    <x v="1"/>
    <n v="4"/>
    <x v="0"/>
    <n v="2686"/>
    <n v="5207"/>
    <n v="1"/>
    <s v="Y"/>
    <s v="Yes"/>
    <n v="13"/>
    <n v="3"/>
    <n v="3"/>
    <n v="80"/>
    <n v="0"/>
    <n v="10"/>
    <n v="2"/>
    <n v="2"/>
    <n v="10"/>
    <n v="9"/>
    <n v="7"/>
    <n v="8"/>
    <n v="1"/>
    <x v="2"/>
  </r>
  <r>
    <n v="25"/>
    <x v="1"/>
    <s v="Travel_Rarely"/>
    <n v="883"/>
    <x v="0"/>
    <n v="26"/>
    <x v="1"/>
    <x v="2"/>
    <n v="1"/>
    <n v="781"/>
    <n v="3"/>
    <x v="0"/>
    <n v="32"/>
    <n v="3"/>
    <n v="2"/>
    <x v="0"/>
    <n v="4"/>
    <x v="0"/>
    <n v="6180"/>
    <n v="22807"/>
    <n v="1"/>
    <s v="Y"/>
    <s v="No"/>
    <n v="23"/>
    <n v="4"/>
    <n v="2"/>
    <n v="80"/>
    <n v="0"/>
    <n v="6"/>
    <n v="5"/>
    <n v="2"/>
    <n v="6"/>
    <n v="5"/>
    <n v="1"/>
    <n v="4"/>
    <n v="0"/>
    <x v="2"/>
  </r>
  <r>
    <n v="45"/>
    <x v="1"/>
    <s v="Travel_Rarely"/>
    <n v="954"/>
    <x v="0"/>
    <n v="2"/>
    <x v="0"/>
    <x v="4"/>
    <n v="1"/>
    <n v="783"/>
    <n v="2"/>
    <x v="1"/>
    <n v="46"/>
    <n v="1"/>
    <n v="2"/>
    <x v="6"/>
    <n v="3"/>
    <x v="0"/>
    <n v="6632"/>
    <n v="12388"/>
    <n v="0"/>
    <s v="Y"/>
    <s v="No"/>
    <n v="13"/>
    <n v="3"/>
    <n v="1"/>
    <n v="80"/>
    <n v="0"/>
    <n v="9"/>
    <n v="3"/>
    <n v="3"/>
    <n v="8"/>
    <n v="7"/>
    <n v="3"/>
    <n v="1"/>
    <n v="0"/>
    <x v="1"/>
  </r>
  <r>
    <n v="23"/>
    <x v="1"/>
    <s v="Travel_Rarely"/>
    <n v="310"/>
    <x v="1"/>
    <n v="10"/>
    <x v="1"/>
    <x v="2"/>
    <n v="1"/>
    <n v="784"/>
    <n v="1"/>
    <x v="1"/>
    <n v="79"/>
    <n v="4"/>
    <n v="1"/>
    <x v="1"/>
    <n v="3"/>
    <x v="0"/>
    <n v="3505"/>
    <n v="19630"/>
    <n v="1"/>
    <s v="Y"/>
    <s v="No"/>
    <n v="18"/>
    <n v="3"/>
    <n v="4"/>
    <n v="80"/>
    <n v="0"/>
    <n v="2"/>
    <n v="3"/>
    <n v="3"/>
    <n v="2"/>
    <n v="2"/>
    <n v="0"/>
    <n v="2"/>
    <n v="0"/>
    <x v="4"/>
  </r>
  <r>
    <n v="47"/>
    <x v="0"/>
    <s v="Travel_Frequently"/>
    <n v="719"/>
    <x v="0"/>
    <n v="27"/>
    <x v="0"/>
    <x v="0"/>
    <n v="1"/>
    <n v="785"/>
    <n v="2"/>
    <x v="0"/>
    <n v="77"/>
    <n v="4"/>
    <n v="2"/>
    <x v="0"/>
    <n v="3"/>
    <x v="0"/>
    <n v="6397"/>
    <n v="10339"/>
    <n v="4"/>
    <s v="Y"/>
    <s v="Yes"/>
    <n v="12"/>
    <n v="3"/>
    <n v="4"/>
    <n v="80"/>
    <n v="0"/>
    <n v="8"/>
    <n v="2"/>
    <n v="3"/>
    <n v="5"/>
    <n v="4"/>
    <n v="1"/>
    <n v="3"/>
    <n v="1"/>
    <x v="1"/>
  </r>
  <r>
    <n v="34"/>
    <x v="1"/>
    <s v="Travel_Rarely"/>
    <n v="304"/>
    <x v="0"/>
    <n v="2"/>
    <x v="3"/>
    <x v="1"/>
    <n v="1"/>
    <n v="786"/>
    <n v="4"/>
    <x v="1"/>
    <n v="60"/>
    <n v="3"/>
    <n v="2"/>
    <x v="0"/>
    <n v="4"/>
    <x v="0"/>
    <n v="6274"/>
    <n v="18686"/>
    <n v="1"/>
    <s v="Y"/>
    <s v="No"/>
    <n v="22"/>
    <n v="4"/>
    <n v="3"/>
    <n v="80"/>
    <n v="0"/>
    <n v="6"/>
    <n v="5"/>
    <n v="3"/>
    <n v="6"/>
    <n v="5"/>
    <n v="1"/>
    <n v="4"/>
    <n v="0"/>
    <x v="2"/>
  </r>
  <r>
    <n v="55"/>
    <x v="0"/>
    <s v="Travel_Rarely"/>
    <n v="725"/>
    <x v="1"/>
    <n v="2"/>
    <x v="3"/>
    <x v="2"/>
    <n v="1"/>
    <n v="787"/>
    <n v="4"/>
    <x v="1"/>
    <n v="78"/>
    <n v="3"/>
    <n v="5"/>
    <x v="5"/>
    <n v="1"/>
    <x v="1"/>
    <n v="19859"/>
    <n v="21199"/>
    <n v="5"/>
    <s v="Y"/>
    <s v="Yes"/>
    <n v="13"/>
    <n v="3"/>
    <n v="4"/>
    <n v="80"/>
    <n v="1"/>
    <n v="24"/>
    <n v="2"/>
    <n v="3"/>
    <n v="5"/>
    <n v="2"/>
    <n v="1"/>
    <n v="4"/>
    <n v="1"/>
    <x v="3"/>
  </r>
  <r>
    <n v="36"/>
    <x v="1"/>
    <s v="Non-Travel"/>
    <n v="1434"/>
    <x v="0"/>
    <n v="8"/>
    <x v="2"/>
    <x v="0"/>
    <n v="1"/>
    <n v="789"/>
    <n v="1"/>
    <x v="1"/>
    <n v="76"/>
    <n v="2"/>
    <n v="3"/>
    <x v="0"/>
    <n v="1"/>
    <x v="0"/>
    <n v="7587"/>
    <n v="14229"/>
    <n v="1"/>
    <s v="Y"/>
    <s v="No"/>
    <n v="15"/>
    <n v="3"/>
    <n v="2"/>
    <n v="80"/>
    <n v="0"/>
    <n v="10"/>
    <n v="1"/>
    <n v="3"/>
    <n v="10"/>
    <n v="7"/>
    <n v="0"/>
    <n v="9"/>
    <n v="0"/>
    <x v="0"/>
  </r>
  <r>
    <n v="52"/>
    <x v="1"/>
    <s v="Non-Travel"/>
    <n v="715"/>
    <x v="1"/>
    <n v="19"/>
    <x v="2"/>
    <x v="2"/>
    <n v="1"/>
    <n v="791"/>
    <n v="4"/>
    <x v="1"/>
    <n v="41"/>
    <n v="3"/>
    <n v="1"/>
    <x v="1"/>
    <n v="4"/>
    <x v="1"/>
    <n v="4258"/>
    <n v="26589"/>
    <n v="0"/>
    <s v="Y"/>
    <s v="No"/>
    <n v="18"/>
    <n v="3"/>
    <n v="1"/>
    <n v="80"/>
    <n v="1"/>
    <n v="5"/>
    <n v="3"/>
    <n v="3"/>
    <n v="4"/>
    <n v="3"/>
    <n v="1"/>
    <n v="2"/>
    <n v="0"/>
    <x v="1"/>
  </r>
  <r>
    <n v="26"/>
    <x v="1"/>
    <s v="Travel_Frequently"/>
    <n v="575"/>
    <x v="1"/>
    <n v="1"/>
    <x v="0"/>
    <x v="0"/>
    <n v="1"/>
    <n v="792"/>
    <n v="1"/>
    <x v="0"/>
    <n v="71"/>
    <n v="1"/>
    <n v="1"/>
    <x v="2"/>
    <n v="4"/>
    <x v="2"/>
    <n v="4364"/>
    <n v="5288"/>
    <n v="3"/>
    <s v="Y"/>
    <s v="No"/>
    <n v="14"/>
    <n v="3"/>
    <n v="1"/>
    <n v="80"/>
    <n v="1"/>
    <n v="5"/>
    <n v="2"/>
    <n v="3"/>
    <n v="2"/>
    <n v="2"/>
    <n v="2"/>
    <n v="0"/>
    <n v="0"/>
    <x v="2"/>
  </r>
  <r>
    <n v="29"/>
    <x v="1"/>
    <s v="Travel_Rarely"/>
    <n v="657"/>
    <x v="1"/>
    <n v="27"/>
    <x v="3"/>
    <x v="2"/>
    <n v="1"/>
    <n v="793"/>
    <n v="2"/>
    <x v="0"/>
    <n v="66"/>
    <n v="3"/>
    <n v="2"/>
    <x v="4"/>
    <n v="3"/>
    <x v="1"/>
    <n v="4335"/>
    <n v="25549"/>
    <n v="4"/>
    <s v="Y"/>
    <s v="No"/>
    <n v="12"/>
    <n v="3"/>
    <n v="1"/>
    <n v="80"/>
    <n v="1"/>
    <n v="11"/>
    <n v="3"/>
    <n v="2"/>
    <n v="8"/>
    <n v="7"/>
    <n v="1"/>
    <n v="1"/>
    <n v="0"/>
    <x v="2"/>
  </r>
  <r>
    <n v="26"/>
    <x v="0"/>
    <s v="Travel_Rarely"/>
    <n v="1146"/>
    <x v="0"/>
    <n v="8"/>
    <x v="3"/>
    <x v="4"/>
    <n v="1"/>
    <n v="796"/>
    <n v="4"/>
    <x v="1"/>
    <n v="38"/>
    <n v="2"/>
    <n v="2"/>
    <x v="0"/>
    <n v="1"/>
    <x v="0"/>
    <n v="5326"/>
    <n v="3064"/>
    <n v="6"/>
    <s v="Y"/>
    <s v="No"/>
    <n v="17"/>
    <n v="3"/>
    <n v="3"/>
    <n v="80"/>
    <n v="0"/>
    <n v="6"/>
    <n v="2"/>
    <n v="2"/>
    <n v="4"/>
    <n v="3"/>
    <n v="1"/>
    <n v="2"/>
    <n v="1"/>
    <x v="2"/>
  </r>
  <r>
    <n v="34"/>
    <x v="1"/>
    <s v="Travel_Rarely"/>
    <n v="182"/>
    <x v="1"/>
    <n v="1"/>
    <x v="2"/>
    <x v="0"/>
    <n v="1"/>
    <n v="797"/>
    <n v="2"/>
    <x v="0"/>
    <n v="72"/>
    <n v="4"/>
    <n v="1"/>
    <x v="1"/>
    <n v="4"/>
    <x v="0"/>
    <n v="3280"/>
    <n v="13551"/>
    <n v="2"/>
    <s v="Y"/>
    <s v="No"/>
    <n v="16"/>
    <n v="3"/>
    <n v="3"/>
    <n v="80"/>
    <n v="0"/>
    <n v="10"/>
    <n v="2"/>
    <n v="3"/>
    <n v="4"/>
    <n v="2"/>
    <n v="1"/>
    <n v="3"/>
    <n v="0"/>
    <x v="2"/>
  </r>
  <r>
    <n v="54"/>
    <x v="1"/>
    <s v="Travel_Rarely"/>
    <n v="376"/>
    <x v="1"/>
    <n v="19"/>
    <x v="2"/>
    <x v="2"/>
    <n v="1"/>
    <n v="799"/>
    <n v="4"/>
    <x v="0"/>
    <n v="95"/>
    <n v="3"/>
    <n v="2"/>
    <x v="3"/>
    <n v="1"/>
    <x v="2"/>
    <n v="5485"/>
    <n v="22670"/>
    <n v="9"/>
    <s v="Y"/>
    <s v="Yes"/>
    <n v="11"/>
    <n v="3"/>
    <n v="2"/>
    <n v="80"/>
    <n v="2"/>
    <n v="9"/>
    <n v="4"/>
    <n v="3"/>
    <n v="5"/>
    <n v="3"/>
    <n v="1"/>
    <n v="4"/>
    <n v="0"/>
    <x v="1"/>
  </r>
  <r>
    <n v="27"/>
    <x v="1"/>
    <s v="Travel_Frequently"/>
    <n v="829"/>
    <x v="0"/>
    <n v="8"/>
    <x v="1"/>
    <x v="3"/>
    <n v="1"/>
    <n v="800"/>
    <n v="3"/>
    <x v="1"/>
    <n v="84"/>
    <n v="3"/>
    <n v="2"/>
    <x v="0"/>
    <n v="4"/>
    <x v="1"/>
    <n v="4342"/>
    <n v="24008"/>
    <n v="0"/>
    <s v="Y"/>
    <s v="No"/>
    <n v="19"/>
    <n v="3"/>
    <n v="2"/>
    <n v="80"/>
    <n v="1"/>
    <n v="5"/>
    <n v="3"/>
    <n v="3"/>
    <n v="4"/>
    <n v="2"/>
    <n v="1"/>
    <n v="1"/>
    <n v="0"/>
    <x v="2"/>
  </r>
  <r>
    <n v="37"/>
    <x v="1"/>
    <s v="Travel_Rarely"/>
    <n v="571"/>
    <x v="1"/>
    <n v="10"/>
    <x v="1"/>
    <x v="0"/>
    <n v="1"/>
    <n v="802"/>
    <n v="4"/>
    <x v="0"/>
    <n v="82"/>
    <n v="3"/>
    <n v="1"/>
    <x v="1"/>
    <n v="1"/>
    <x v="2"/>
    <n v="2782"/>
    <n v="19905"/>
    <n v="0"/>
    <s v="Y"/>
    <s v="Yes"/>
    <n v="13"/>
    <n v="3"/>
    <n v="2"/>
    <n v="80"/>
    <n v="2"/>
    <n v="6"/>
    <n v="3"/>
    <n v="2"/>
    <n v="5"/>
    <n v="3"/>
    <n v="4"/>
    <n v="3"/>
    <n v="0"/>
    <x v="0"/>
  </r>
  <r>
    <n v="38"/>
    <x v="1"/>
    <s v="Travel_Frequently"/>
    <n v="240"/>
    <x v="1"/>
    <n v="2"/>
    <x v="2"/>
    <x v="0"/>
    <n v="1"/>
    <n v="803"/>
    <n v="1"/>
    <x v="0"/>
    <n v="75"/>
    <n v="4"/>
    <n v="2"/>
    <x v="3"/>
    <n v="1"/>
    <x v="0"/>
    <n v="5980"/>
    <n v="26085"/>
    <n v="6"/>
    <s v="Y"/>
    <s v="Yes"/>
    <n v="12"/>
    <n v="3"/>
    <n v="4"/>
    <n v="80"/>
    <n v="0"/>
    <n v="17"/>
    <n v="2"/>
    <n v="3"/>
    <n v="15"/>
    <n v="7"/>
    <n v="4"/>
    <n v="12"/>
    <n v="0"/>
    <x v="0"/>
  </r>
  <r>
    <n v="34"/>
    <x v="1"/>
    <s v="Travel_Rarely"/>
    <n v="121"/>
    <x v="1"/>
    <n v="2"/>
    <x v="2"/>
    <x v="2"/>
    <n v="1"/>
    <n v="804"/>
    <n v="3"/>
    <x v="0"/>
    <n v="86"/>
    <n v="2"/>
    <n v="1"/>
    <x v="1"/>
    <n v="1"/>
    <x v="0"/>
    <n v="4381"/>
    <n v="7530"/>
    <n v="1"/>
    <s v="Y"/>
    <s v="No"/>
    <n v="11"/>
    <n v="3"/>
    <n v="3"/>
    <n v="80"/>
    <n v="0"/>
    <n v="6"/>
    <n v="3"/>
    <n v="3"/>
    <n v="6"/>
    <n v="5"/>
    <n v="1"/>
    <n v="3"/>
    <n v="0"/>
    <x v="2"/>
  </r>
  <r>
    <n v="35"/>
    <x v="1"/>
    <s v="Travel_Rarely"/>
    <n v="384"/>
    <x v="0"/>
    <n v="8"/>
    <x v="2"/>
    <x v="0"/>
    <n v="1"/>
    <n v="805"/>
    <n v="1"/>
    <x v="0"/>
    <n v="72"/>
    <n v="3"/>
    <n v="1"/>
    <x v="6"/>
    <n v="4"/>
    <x v="1"/>
    <n v="2572"/>
    <n v="20317"/>
    <n v="1"/>
    <s v="Y"/>
    <s v="No"/>
    <n v="16"/>
    <n v="3"/>
    <n v="2"/>
    <n v="80"/>
    <n v="1"/>
    <n v="3"/>
    <n v="1"/>
    <n v="2"/>
    <n v="3"/>
    <n v="2"/>
    <n v="0"/>
    <n v="2"/>
    <n v="0"/>
    <x v="0"/>
  </r>
  <r>
    <n v="30"/>
    <x v="1"/>
    <s v="Travel_Rarely"/>
    <n v="921"/>
    <x v="1"/>
    <n v="1"/>
    <x v="3"/>
    <x v="0"/>
    <n v="1"/>
    <n v="806"/>
    <n v="4"/>
    <x v="1"/>
    <n v="38"/>
    <n v="1"/>
    <n v="1"/>
    <x v="2"/>
    <n v="3"/>
    <x v="1"/>
    <n v="3833"/>
    <n v="24375"/>
    <n v="3"/>
    <s v="Y"/>
    <s v="No"/>
    <n v="21"/>
    <n v="4"/>
    <n v="3"/>
    <n v="80"/>
    <n v="2"/>
    <n v="7"/>
    <n v="2"/>
    <n v="3"/>
    <n v="2"/>
    <n v="2"/>
    <n v="0"/>
    <n v="2"/>
    <n v="0"/>
    <x v="2"/>
  </r>
  <r>
    <n v="40"/>
    <x v="1"/>
    <s v="Travel_Frequently"/>
    <n v="791"/>
    <x v="1"/>
    <n v="2"/>
    <x v="0"/>
    <x v="2"/>
    <n v="1"/>
    <n v="807"/>
    <n v="3"/>
    <x v="0"/>
    <n v="38"/>
    <n v="4"/>
    <n v="2"/>
    <x v="4"/>
    <n v="2"/>
    <x v="1"/>
    <n v="4244"/>
    <n v="9931"/>
    <n v="1"/>
    <s v="Y"/>
    <s v="No"/>
    <n v="24"/>
    <n v="4"/>
    <n v="4"/>
    <n v="80"/>
    <n v="1"/>
    <n v="8"/>
    <n v="2"/>
    <n v="3"/>
    <n v="8"/>
    <n v="7"/>
    <n v="3"/>
    <n v="7"/>
    <n v="0"/>
    <x v="0"/>
  </r>
  <r>
    <n v="34"/>
    <x v="1"/>
    <s v="Travel_Rarely"/>
    <n v="1111"/>
    <x v="0"/>
    <n v="8"/>
    <x v="0"/>
    <x v="0"/>
    <n v="1"/>
    <n v="808"/>
    <n v="3"/>
    <x v="0"/>
    <n v="93"/>
    <n v="3"/>
    <n v="2"/>
    <x v="0"/>
    <n v="1"/>
    <x v="1"/>
    <n v="6500"/>
    <n v="13305"/>
    <n v="5"/>
    <s v="Y"/>
    <s v="No"/>
    <n v="17"/>
    <n v="3"/>
    <n v="2"/>
    <n v="80"/>
    <n v="1"/>
    <n v="6"/>
    <n v="1"/>
    <n v="3"/>
    <n v="3"/>
    <n v="2"/>
    <n v="1"/>
    <n v="2"/>
    <n v="0"/>
    <x v="2"/>
  </r>
  <r>
    <n v="42"/>
    <x v="1"/>
    <s v="Travel_Frequently"/>
    <n v="570"/>
    <x v="1"/>
    <n v="8"/>
    <x v="3"/>
    <x v="0"/>
    <n v="1"/>
    <n v="809"/>
    <n v="2"/>
    <x v="1"/>
    <n v="66"/>
    <n v="3"/>
    <n v="5"/>
    <x v="5"/>
    <n v="4"/>
    <x v="2"/>
    <n v="18430"/>
    <n v="16225"/>
    <n v="1"/>
    <s v="Y"/>
    <s v="No"/>
    <n v="13"/>
    <n v="3"/>
    <n v="2"/>
    <n v="80"/>
    <n v="1"/>
    <n v="24"/>
    <n v="4"/>
    <n v="2"/>
    <n v="24"/>
    <n v="7"/>
    <n v="14"/>
    <n v="9"/>
    <n v="0"/>
    <x v="0"/>
  </r>
  <r>
    <n v="23"/>
    <x v="0"/>
    <s v="Travel_Rarely"/>
    <n v="1243"/>
    <x v="1"/>
    <n v="6"/>
    <x v="3"/>
    <x v="0"/>
    <n v="1"/>
    <n v="811"/>
    <n v="3"/>
    <x v="1"/>
    <n v="63"/>
    <n v="4"/>
    <n v="1"/>
    <x v="2"/>
    <n v="1"/>
    <x v="1"/>
    <n v="1601"/>
    <n v="3445"/>
    <n v="1"/>
    <s v="Y"/>
    <s v="Yes"/>
    <n v="21"/>
    <n v="4"/>
    <n v="3"/>
    <n v="80"/>
    <n v="2"/>
    <n v="1"/>
    <n v="2"/>
    <n v="3"/>
    <n v="0"/>
    <n v="0"/>
    <n v="0"/>
    <n v="0"/>
    <n v="1"/>
    <x v="4"/>
  </r>
  <r>
    <n v="24"/>
    <x v="1"/>
    <s v="Non-Travel"/>
    <n v="1092"/>
    <x v="1"/>
    <n v="9"/>
    <x v="3"/>
    <x v="0"/>
    <n v="1"/>
    <n v="812"/>
    <n v="3"/>
    <x v="1"/>
    <n v="60"/>
    <n v="2"/>
    <n v="1"/>
    <x v="2"/>
    <n v="2"/>
    <x v="2"/>
    <n v="2694"/>
    <n v="26551"/>
    <n v="1"/>
    <s v="Y"/>
    <s v="No"/>
    <n v="11"/>
    <n v="3"/>
    <n v="3"/>
    <n v="80"/>
    <n v="3"/>
    <n v="1"/>
    <n v="4"/>
    <n v="3"/>
    <n v="1"/>
    <n v="0"/>
    <n v="0"/>
    <n v="0"/>
    <n v="0"/>
    <x v="4"/>
  </r>
  <r>
    <n v="52"/>
    <x v="1"/>
    <s v="Travel_Rarely"/>
    <n v="1325"/>
    <x v="1"/>
    <n v="11"/>
    <x v="2"/>
    <x v="0"/>
    <n v="1"/>
    <n v="813"/>
    <n v="4"/>
    <x v="0"/>
    <n v="82"/>
    <n v="3"/>
    <n v="2"/>
    <x v="2"/>
    <n v="3"/>
    <x v="1"/>
    <n v="3149"/>
    <n v="21821"/>
    <n v="8"/>
    <s v="Y"/>
    <s v="No"/>
    <n v="20"/>
    <n v="4"/>
    <n v="2"/>
    <n v="80"/>
    <n v="1"/>
    <n v="9"/>
    <n v="3"/>
    <n v="3"/>
    <n v="5"/>
    <n v="2"/>
    <n v="1"/>
    <n v="4"/>
    <n v="0"/>
    <x v="1"/>
  </r>
  <r>
    <n v="50"/>
    <x v="1"/>
    <s v="Travel_Rarely"/>
    <n v="691"/>
    <x v="1"/>
    <n v="2"/>
    <x v="3"/>
    <x v="2"/>
    <n v="1"/>
    <n v="815"/>
    <n v="3"/>
    <x v="1"/>
    <n v="64"/>
    <n v="3"/>
    <n v="4"/>
    <x v="7"/>
    <n v="3"/>
    <x v="1"/>
    <n v="17639"/>
    <n v="6881"/>
    <n v="5"/>
    <s v="Y"/>
    <s v="No"/>
    <n v="16"/>
    <n v="3"/>
    <n v="4"/>
    <n v="80"/>
    <n v="0"/>
    <n v="30"/>
    <n v="3"/>
    <n v="3"/>
    <n v="4"/>
    <n v="3"/>
    <n v="0"/>
    <n v="3"/>
    <n v="0"/>
    <x v="1"/>
  </r>
  <r>
    <n v="29"/>
    <x v="0"/>
    <s v="Travel_Rarely"/>
    <n v="805"/>
    <x v="1"/>
    <n v="1"/>
    <x v="0"/>
    <x v="0"/>
    <n v="1"/>
    <n v="816"/>
    <n v="2"/>
    <x v="0"/>
    <n v="36"/>
    <n v="2"/>
    <n v="1"/>
    <x v="2"/>
    <n v="1"/>
    <x v="1"/>
    <n v="2319"/>
    <n v="6689"/>
    <n v="1"/>
    <s v="Y"/>
    <s v="Yes"/>
    <n v="11"/>
    <n v="3"/>
    <n v="4"/>
    <n v="80"/>
    <n v="1"/>
    <n v="1"/>
    <n v="1"/>
    <n v="3"/>
    <n v="1"/>
    <n v="0"/>
    <n v="0"/>
    <n v="0"/>
    <n v="1"/>
    <x v="2"/>
  </r>
  <r>
    <n v="33"/>
    <x v="1"/>
    <s v="Travel_Rarely"/>
    <n v="213"/>
    <x v="1"/>
    <n v="7"/>
    <x v="3"/>
    <x v="2"/>
    <n v="1"/>
    <n v="817"/>
    <n v="3"/>
    <x v="1"/>
    <n v="49"/>
    <n v="3"/>
    <n v="3"/>
    <x v="7"/>
    <n v="3"/>
    <x v="1"/>
    <n v="11691"/>
    <n v="25995"/>
    <n v="0"/>
    <s v="Y"/>
    <s v="No"/>
    <n v="11"/>
    <n v="3"/>
    <n v="4"/>
    <n v="80"/>
    <n v="0"/>
    <n v="14"/>
    <n v="3"/>
    <n v="4"/>
    <n v="13"/>
    <n v="9"/>
    <n v="3"/>
    <n v="7"/>
    <n v="0"/>
    <x v="2"/>
  </r>
  <r>
    <n v="33"/>
    <x v="0"/>
    <s v="Travel_Rarely"/>
    <n v="118"/>
    <x v="0"/>
    <n v="16"/>
    <x v="3"/>
    <x v="3"/>
    <n v="1"/>
    <n v="819"/>
    <n v="1"/>
    <x v="0"/>
    <n v="69"/>
    <n v="3"/>
    <n v="2"/>
    <x v="0"/>
    <n v="1"/>
    <x v="0"/>
    <n v="5324"/>
    <n v="26507"/>
    <n v="5"/>
    <s v="Y"/>
    <s v="No"/>
    <n v="15"/>
    <n v="3"/>
    <n v="3"/>
    <n v="80"/>
    <n v="0"/>
    <n v="6"/>
    <n v="3"/>
    <n v="3"/>
    <n v="3"/>
    <n v="2"/>
    <n v="0"/>
    <n v="2"/>
    <n v="1"/>
    <x v="2"/>
  </r>
  <r>
    <n v="47"/>
    <x v="1"/>
    <s v="Travel_Rarely"/>
    <n v="202"/>
    <x v="1"/>
    <n v="2"/>
    <x v="0"/>
    <x v="1"/>
    <n v="1"/>
    <n v="820"/>
    <n v="3"/>
    <x v="0"/>
    <n v="33"/>
    <n v="3"/>
    <n v="4"/>
    <x v="5"/>
    <n v="4"/>
    <x v="1"/>
    <n v="16752"/>
    <n v="12982"/>
    <n v="1"/>
    <s v="Y"/>
    <s v="Yes"/>
    <n v="11"/>
    <n v="3"/>
    <n v="3"/>
    <n v="80"/>
    <n v="1"/>
    <n v="26"/>
    <n v="3"/>
    <n v="2"/>
    <n v="26"/>
    <n v="14"/>
    <n v="3"/>
    <n v="0"/>
    <n v="0"/>
    <x v="1"/>
  </r>
  <r>
    <n v="36"/>
    <x v="1"/>
    <s v="Travel_Rarely"/>
    <n v="676"/>
    <x v="1"/>
    <n v="1"/>
    <x v="3"/>
    <x v="1"/>
    <n v="1"/>
    <n v="823"/>
    <n v="3"/>
    <x v="0"/>
    <n v="35"/>
    <n v="3"/>
    <n v="2"/>
    <x v="3"/>
    <n v="2"/>
    <x v="1"/>
    <n v="5228"/>
    <n v="23361"/>
    <n v="0"/>
    <s v="Y"/>
    <s v="No"/>
    <n v="15"/>
    <n v="3"/>
    <n v="1"/>
    <n v="80"/>
    <n v="1"/>
    <n v="10"/>
    <n v="2"/>
    <n v="3"/>
    <n v="9"/>
    <n v="7"/>
    <n v="0"/>
    <n v="5"/>
    <n v="0"/>
    <x v="0"/>
  </r>
  <r>
    <n v="29"/>
    <x v="1"/>
    <s v="Travel_Rarely"/>
    <n v="1252"/>
    <x v="1"/>
    <n v="23"/>
    <x v="0"/>
    <x v="0"/>
    <n v="1"/>
    <n v="824"/>
    <n v="3"/>
    <x v="1"/>
    <n v="81"/>
    <n v="4"/>
    <n v="1"/>
    <x v="1"/>
    <n v="3"/>
    <x v="1"/>
    <n v="2700"/>
    <n v="23779"/>
    <n v="1"/>
    <s v="Y"/>
    <s v="No"/>
    <n v="24"/>
    <n v="4"/>
    <n v="3"/>
    <n v="80"/>
    <n v="1"/>
    <n v="10"/>
    <n v="3"/>
    <n v="3"/>
    <n v="10"/>
    <n v="7"/>
    <n v="0"/>
    <n v="7"/>
    <n v="0"/>
    <x v="2"/>
  </r>
  <r>
    <n v="58"/>
    <x v="0"/>
    <s v="Travel_Rarely"/>
    <n v="286"/>
    <x v="1"/>
    <n v="2"/>
    <x v="2"/>
    <x v="0"/>
    <n v="1"/>
    <n v="825"/>
    <n v="4"/>
    <x v="1"/>
    <n v="31"/>
    <n v="3"/>
    <n v="5"/>
    <x v="7"/>
    <n v="2"/>
    <x v="0"/>
    <n v="19246"/>
    <n v="25761"/>
    <n v="7"/>
    <s v="Y"/>
    <s v="Yes"/>
    <n v="12"/>
    <n v="3"/>
    <n v="4"/>
    <n v="80"/>
    <n v="0"/>
    <n v="40"/>
    <n v="2"/>
    <n v="3"/>
    <n v="31"/>
    <n v="15"/>
    <n v="13"/>
    <n v="8"/>
    <n v="1"/>
    <x v="3"/>
  </r>
  <r>
    <n v="35"/>
    <x v="1"/>
    <s v="Travel_Rarely"/>
    <n v="1258"/>
    <x v="1"/>
    <n v="1"/>
    <x v="2"/>
    <x v="0"/>
    <n v="1"/>
    <n v="826"/>
    <n v="4"/>
    <x v="0"/>
    <n v="40"/>
    <n v="4"/>
    <n v="1"/>
    <x v="1"/>
    <n v="3"/>
    <x v="0"/>
    <n v="2506"/>
    <n v="13301"/>
    <n v="3"/>
    <s v="Y"/>
    <s v="No"/>
    <n v="13"/>
    <n v="3"/>
    <n v="3"/>
    <n v="80"/>
    <n v="0"/>
    <n v="7"/>
    <n v="0"/>
    <n v="3"/>
    <n v="2"/>
    <n v="2"/>
    <n v="2"/>
    <n v="2"/>
    <n v="0"/>
    <x v="0"/>
  </r>
  <r>
    <n v="42"/>
    <x v="1"/>
    <s v="Travel_Rarely"/>
    <n v="932"/>
    <x v="1"/>
    <n v="1"/>
    <x v="0"/>
    <x v="0"/>
    <n v="1"/>
    <n v="827"/>
    <n v="4"/>
    <x v="0"/>
    <n v="43"/>
    <n v="2"/>
    <n v="2"/>
    <x v="3"/>
    <n v="4"/>
    <x v="1"/>
    <n v="6062"/>
    <n v="4051"/>
    <n v="9"/>
    <s v="Y"/>
    <s v="Yes"/>
    <n v="13"/>
    <n v="3"/>
    <n v="4"/>
    <n v="80"/>
    <n v="1"/>
    <n v="8"/>
    <n v="4"/>
    <n v="3"/>
    <n v="4"/>
    <n v="3"/>
    <n v="0"/>
    <n v="2"/>
    <n v="0"/>
    <x v="0"/>
  </r>
  <r>
    <n v="28"/>
    <x v="0"/>
    <s v="Travel_Rarely"/>
    <n v="890"/>
    <x v="1"/>
    <n v="2"/>
    <x v="2"/>
    <x v="2"/>
    <n v="1"/>
    <n v="828"/>
    <n v="3"/>
    <x v="1"/>
    <n v="46"/>
    <n v="3"/>
    <n v="1"/>
    <x v="1"/>
    <n v="3"/>
    <x v="0"/>
    <n v="4382"/>
    <n v="16374"/>
    <n v="6"/>
    <s v="Y"/>
    <s v="No"/>
    <n v="17"/>
    <n v="3"/>
    <n v="4"/>
    <n v="80"/>
    <n v="0"/>
    <n v="5"/>
    <n v="3"/>
    <n v="2"/>
    <n v="2"/>
    <n v="2"/>
    <n v="2"/>
    <n v="1"/>
    <n v="1"/>
    <x v="2"/>
  </r>
  <r>
    <n v="36"/>
    <x v="1"/>
    <s v="Travel_Rarely"/>
    <n v="1041"/>
    <x v="2"/>
    <n v="13"/>
    <x v="3"/>
    <x v="5"/>
    <n v="1"/>
    <n v="829"/>
    <n v="3"/>
    <x v="1"/>
    <n v="36"/>
    <n v="3"/>
    <n v="1"/>
    <x v="8"/>
    <n v="2"/>
    <x v="1"/>
    <n v="2143"/>
    <n v="25527"/>
    <n v="4"/>
    <s v="Y"/>
    <s v="No"/>
    <n v="13"/>
    <n v="3"/>
    <n v="2"/>
    <n v="80"/>
    <n v="1"/>
    <n v="8"/>
    <n v="2"/>
    <n v="3"/>
    <n v="5"/>
    <n v="2"/>
    <n v="0"/>
    <n v="4"/>
    <n v="0"/>
    <x v="0"/>
  </r>
  <r>
    <n v="32"/>
    <x v="1"/>
    <s v="Travel_Rarely"/>
    <n v="859"/>
    <x v="1"/>
    <n v="4"/>
    <x v="3"/>
    <x v="0"/>
    <n v="1"/>
    <n v="830"/>
    <n v="3"/>
    <x v="0"/>
    <n v="98"/>
    <n v="2"/>
    <n v="2"/>
    <x v="3"/>
    <n v="3"/>
    <x v="1"/>
    <n v="6162"/>
    <n v="19124"/>
    <n v="1"/>
    <s v="Y"/>
    <s v="No"/>
    <n v="12"/>
    <n v="3"/>
    <n v="3"/>
    <n v="80"/>
    <n v="1"/>
    <n v="14"/>
    <n v="3"/>
    <n v="3"/>
    <n v="14"/>
    <n v="13"/>
    <n v="6"/>
    <n v="8"/>
    <n v="0"/>
    <x v="2"/>
  </r>
  <r>
    <n v="40"/>
    <x v="1"/>
    <s v="Travel_Frequently"/>
    <n v="720"/>
    <x v="1"/>
    <n v="16"/>
    <x v="2"/>
    <x v="2"/>
    <n v="1"/>
    <n v="832"/>
    <n v="1"/>
    <x v="1"/>
    <n v="51"/>
    <n v="2"/>
    <n v="2"/>
    <x v="2"/>
    <n v="3"/>
    <x v="0"/>
    <n v="5094"/>
    <n v="11983"/>
    <n v="6"/>
    <s v="Y"/>
    <s v="No"/>
    <n v="14"/>
    <n v="3"/>
    <n v="4"/>
    <n v="80"/>
    <n v="0"/>
    <n v="10"/>
    <n v="6"/>
    <n v="3"/>
    <n v="1"/>
    <n v="0"/>
    <n v="0"/>
    <n v="0"/>
    <n v="0"/>
    <x v="0"/>
  </r>
  <r>
    <n v="30"/>
    <x v="1"/>
    <s v="Travel_Rarely"/>
    <n v="946"/>
    <x v="1"/>
    <n v="2"/>
    <x v="3"/>
    <x v="2"/>
    <n v="1"/>
    <n v="833"/>
    <n v="3"/>
    <x v="0"/>
    <n v="52"/>
    <n v="2"/>
    <n v="2"/>
    <x v="3"/>
    <n v="4"/>
    <x v="0"/>
    <n v="6877"/>
    <n v="20234"/>
    <n v="5"/>
    <s v="Y"/>
    <s v="Yes"/>
    <n v="24"/>
    <n v="4"/>
    <n v="2"/>
    <n v="80"/>
    <n v="0"/>
    <n v="12"/>
    <n v="4"/>
    <n v="2"/>
    <n v="0"/>
    <n v="0"/>
    <n v="0"/>
    <n v="0"/>
    <n v="0"/>
    <x v="2"/>
  </r>
  <r>
    <n v="45"/>
    <x v="1"/>
    <s v="Travel_Rarely"/>
    <n v="252"/>
    <x v="1"/>
    <n v="2"/>
    <x v="3"/>
    <x v="0"/>
    <n v="1"/>
    <n v="834"/>
    <n v="2"/>
    <x v="0"/>
    <n v="95"/>
    <n v="2"/>
    <n v="1"/>
    <x v="1"/>
    <n v="3"/>
    <x v="0"/>
    <n v="2274"/>
    <n v="6153"/>
    <n v="1"/>
    <s v="Y"/>
    <s v="No"/>
    <n v="14"/>
    <n v="3"/>
    <n v="4"/>
    <n v="80"/>
    <n v="0"/>
    <n v="1"/>
    <n v="3"/>
    <n v="3"/>
    <n v="1"/>
    <n v="0"/>
    <n v="0"/>
    <n v="0"/>
    <n v="0"/>
    <x v="1"/>
  </r>
  <r>
    <n v="42"/>
    <x v="1"/>
    <s v="Travel_Rarely"/>
    <n v="933"/>
    <x v="1"/>
    <n v="29"/>
    <x v="3"/>
    <x v="0"/>
    <n v="1"/>
    <n v="836"/>
    <n v="2"/>
    <x v="1"/>
    <n v="98"/>
    <n v="3"/>
    <n v="2"/>
    <x v="3"/>
    <n v="2"/>
    <x v="1"/>
    <n v="4434"/>
    <n v="11806"/>
    <n v="1"/>
    <s v="Y"/>
    <s v="No"/>
    <n v="13"/>
    <n v="3"/>
    <n v="4"/>
    <n v="80"/>
    <n v="1"/>
    <n v="10"/>
    <n v="3"/>
    <n v="2"/>
    <n v="9"/>
    <n v="8"/>
    <n v="7"/>
    <n v="8"/>
    <n v="0"/>
    <x v="0"/>
  </r>
  <r>
    <n v="38"/>
    <x v="1"/>
    <s v="Travel_Frequently"/>
    <n v="471"/>
    <x v="1"/>
    <n v="12"/>
    <x v="3"/>
    <x v="0"/>
    <n v="1"/>
    <n v="837"/>
    <n v="1"/>
    <x v="1"/>
    <n v="45"/>
    <n v="2"/>
    <n v="2"/>
    <x v="4"/>
    <n v="1"/>
    <x v="2"/>
    <n v="6288"/>
    <n v="4284"/>
    <n v="2"/>
    <s v="Y"/>
    <s v="No"/>
    <n v="15"/>
    <n v="3"/>
    <n v="3"/>
    <n v="80"/>
    <n v="1"/>
    <n v="13"/>
    <n v="3"/>
    <n v="2"/>
    <n v="4"/>
    <n v="3"/>
    <n v="1"/>
    <n v="2"/>
    <n v="0"/>
    <x v="0"/>
  </r>
  <r>
    <n v="34"/>
    <x v="1"/>
    <s v="Travel_Frequently"/>
    <n v="702"/>
    <x v="1"/>
    <n v="16"/>
    <x v="2"/>
    <x v="0"/>
    <n v="1"/>
    <n v="838"/>
    <n v="3"/>
    <x v="0"/>
    <n v="100"/>
    <n v="2"/>
    <n v="1"/>
    <x v="1"/>
    <n v="4"/>
    <x v="0"/>
    <n v="2553"/>
    <n v="8306"/>
    <n v="1"/>
    <s v="Y"/>
    <s v="No"/>
    <n v="16"/>
    <n v="3"/>
    <n v="3"/>
    <n v="80"/>
    <n v="0"/>
    <n v="6"/>
    <n v="3"/>
    <n v="3"/>
    <n v="5"/>
    <n v="2"/>
    <n v="1"/>
    <n v="3"/>
    <n v="0"/>
    <x v="2"/>
  </r>
  <r>
    <n v="49"/>
    <x v="0"/>
    <s v="Travel_Rarely"/>
    <n v="1184"/>
    <x v="0"/>
    <n v="11"/>
    <x v="3"/>
    <x v="3"/>
    <n v="1"/>
    <n v="840"/>
    <n v="3"/>
    <x v="0"/>
    <n v="43"/>
    <n v="3"/>
    <n v="3"/>
    <x v="0"/>
    <n v="4"/>
    <x v="1"/>
    <n v="7654"/>
    <n v="5860"/>
    <n v="1"/>
    <s v="Y"/>
    <s v="No"/>
    <n v="18"/>
    <n v="3"/>
    <n v="1"/>
    <n v="80"/>
    <n v="2"/>
    <n v="9"/>
    <n v="3"/>
    <n v="4"/>
    <n v="9"/>
    <n v="8"/>
    <n v="7"/>
    <n v="7"/>
    <n v="1"/>
    <x v="1"/>
  </r>
  <r>
    <n v="55"/>
    <x v="0"/>
    <s v="Travel_Rarely"/>
    <n v="436"/>
    <x v="0"/>
    <n v="2"/>
    <x v="1"/>
    <x v="2"/>
    <n v="1"/>
    <n v="842"/>
    <n v="3"/>
    <x v="1"/>
    <n v="37"/>
    <n v="3"/>
    <n v="2"/>
    <x v="0"/>
    <n v="4"/>
    <x v="0"/>
    <n v="5160"/>
    <n v="21519"/>
    <n v="4"/>
    <s v="Y"/>
    <s v="No"/>
    <n v="16"/>
    <n v="3"/>
    <n v="3"/>
    <n v="80"/>
    <n v="0"/>
    <n v="12"/>
    <n v="3"/>
    <n v="2"/>
    <n v="9"/>
    <n v="7"/>
    <n v="7"/>
    <n v="3"/>
    <n v="1"/>
    <x v="3"/>
  </r>
  <r>
    <n v="43"/>
    <x v="1"/>
    <s v="Travel_Rarely"/>
    <n v="589"/>
    <x v="1"/>
    <n v="14"/>
    <x v="0"/>
    <x v="0"/>
    <n v="1"/>
    <n v="843"/>
    <n v="2"/>
    <x v="1"/>
    <n v="94"/>
    <n v="3"/>
    <n v="4"/>
    <x v="7"/>
    <n v="1"/>
    <x v="1"/>
    <n v="17159"/>
    <n v="5200"/>
    <n v="6"/>
    <s v="Y"/>
    <s v="No"/>
    <n v="24"/>
    <n v="4"/>
    <n v="3"/>
    <n v="80"/>
    <n v="1"/>
    <n v="22"/>
    <n v="3"/>
    <n v="3"/>
    <n v="4"/>
    <n v="1"/>
    <n v="1"/>
    <n v="0"/>
    <n v="0"/>
    <x v="0"/>
  </r>
  <r>
    <n v="27"/>
    <x v="1"/>
    <s v="Travel_Rarely"/>
    <n v="269"/>
    <x v="1"/>
    <n v="5"/>
    <x v="1"/>
    <x v="4"/>
    <n v="1"/>
    <n v="844"/>
    <n v="3"/>
    <x v="1"/>
    <n v="42"/>
    <n v="2"/>
    <n v="3"/>
    <x v="7"/>
    <n v="4"/>
    <x v="2"/>
    <n v="12808"/>
    <n v="8842"/>
    <n v="1"/>
    <s v="Y"/>
    <s v="Yes"/>
    <n v="16"/>
    <n v="3"/>
    <n v="2"/>
    <n v="80"/>
    <n v="1"/>
    <n v="9"/>
    <n v="3"/>
    <n v="3"/>
    <n v="9"/>
    <n v="8"/>
    <n v="0"/>
    <n v="8"/>
    <n v="0"/>
    <x v="2"/>
  </r>
  <r>
    <n v="35"/>
    <x v="1"/>
    <s v="Travel_Rarely"/>
    <n v="950"/>
    <x v="1"/>
    <n v="7"/>
    <x v="3"/>
    <x v="1"/>
    <n v="1"/>
    <n v="845"/>
    <n v="3"/>
    <x v="1"/>
    <n v="59"/>
    <n v="3"/>
    <n v="3"/>
    <x v="3"/>
    <n v="3"/>
    <x v="0"/>
    <n v="10221"/>
    <n v="18869"/>
    <n v="3"/>
    <s v="Y"/>
    <s v="No"/>
    <n v="21"/>
    <n v="4"/>
    <n v="2"/>
    <n v="80"/>
    <n v="0"/>
    <n v="17"/>
    <n v="3"/>
    <n v="4"/>
    <n v="8"/>
    <n v="5"/>
    <n v="1"/>
    <n v="6"/>
    <n v="0"/>
    <x v="0"/>
  </r>
  <r>
    <n v="28"/>
    <x v="1"/>
    <s v="Travel_Rarely"/>
    <n v="760"/>
    <x v="0"/>
    <n v="2"/>
    <x v="2"/>
    <x v="3"/>
    <n v="1"/>
    <n v="846"/>
    <n v="2"/>
    <x v="0"/>
    <n v="81"/>
    <n v="3"/>
    <n v="2"/>
    <x v="0"/>
    <n v="2"/>
    <x v="1"/>
    <n v="4779"/>
    <n v="3698"/>
    <n v="1"/>
    <s v="Y"/>
    <s v="Yes"/>
    <n v="20"/>
    <n v="4"/>
    <n v="1"/>
    <n v="80"/>
    <n v="0"/>
    <n v="8"/>
    <n v="2"/>
    <n v="3"/>
    <n v="8"/>
    <n v="7"/>
    <n v="7"/>
    <n v="5"/>
    <n v="0"/>
    <x v="2"/>
  </r>
  <r>
    <n v="34"/>
    <x v="1"/>
    <s v="Travel_Rarely"/>
    <n v="829"/>
    <x v="2"/>
    <n v="3"/>
    <x v="0"/>
    <x v="5"/>
    <n v="1"/>
    <n v="847"/>
    <n v="3"/>
    <x v="1"/>
    <n v="88"/>
    <n v="3"/>
    <n v="1"/>
    <x v="8"/>
    <n v="4"/>
    <x v="1"/>
    <n v="3737"/>
    <n v="2243"/>
    <n v="0"/>
    <s v="Y"/>
    <s v="No"/>
    <n v="19"/>
    <n v="3"/>
    <n v="3"/>
    <n v="80"/>
    <n v="1"/>
    <n v="4"/>
    <n v="1"/>
    <n v="1"/>
    <n v="3"/>
    <n v="2"/>
    <n v="0"/>
    <n v="2"/>
    <n v="0"/>
    <x v="2"/>
  </r>
  <r>
    <n v="26"/>
    <x v="0"/>
    <s v="Travel_Frequently"/>
    <n v="887"/>
    <x v="1"/>
    <n v="5"/>
    <x v="0"/>
    <x v="2"/>
    <n v="1"/>
    <n v="848"/>
    <n v="3"/>
    <x v="0"/>
    <n v="88"/>
    <n v="2"/>
    <n v="1"/>
    <x v="1"/>
    <n v="3"/>
    <x v="1"/>
    <n v="2366"/>
    <n v="20898"/>
    <n v="1"/>
    <s v="Y"/>
    <s v="Yes"/>
    <n v="14"/>
    <n v="3"/>
    <n v="1"/>
    <n v="80"/>
    <n v="1"/>
    <n v="8"/>
    <n v="2"/>
    <n v="3"/>
    <n v="8"/>
    <n v="7"/>
    <n v="1"/>
    <n v="7"/>
    <n v="1"/>
    <x v="2"/>
  </r>
  <r>
    <n v="27"/>
    <x v="1"/>
    <s v="Non-Travel"/>
    <n v="443"/>
    <x v="1"/>
    <n v="3"/>
    <x v="3"/>
    <x v="2"/>
    <n v="1"/>
    <n v="850"/>
    <n v="4"/>
    <x v="1"/>
    <n v="50"/>
    <n v="3"/>
    <n v="1"/>
    <x v="1"/>
    <n v="4"/>
    <x v="1"/>
    <n v="1706"/>
    <n v="16571"/>
    <n v="1"/>
    <s v="Y"/>
    <s v="No"/>
    <n v="11"/>
    <n v="3"/>
    <n v="3"/>
    <n v="80"/>
    <n v="3"/>
    <n v="0"/>
    <n v="6"/>
    <n v="2"/>
    <n v="0"/>
    <n v="0"/>
    <n v="0"/>
    <n v="0"/>
    <n v="0"/>
    <x v="2"/>
  </r>
  <r>
    <n v="51"/>
    <x v="1"/>
    <s v="Travel_Rarely"/>
    <n v="1318"/>
    <x v="0"/>
    <n v="26"/>
    <x v="2"/>
    <x v="3"/>
    <n v="1"/>
    <n v="851"/>
    <n v="1"/>
    <x v="0"/>
    <n v="66"/>
    <n v="3"/>
    <n v="4"/>
    <x v="5"/>
    <n v="3"/>
    <x v="1"/>
    <n v="16307"/>
    <n v="5594"/>
    <n v="2"/>
    <s v="Y"/>
    <s v="No"/>
    <n v="14"/>
    <n v="3"/>
    <n v="3"/>
    <n v="80"/>
    <n v="1"/>
    <n v="29"/>
    <n v="2"/>
    <n v="2"/>
    <n v="20"/>
    <n v="6"/>
    <n v="4"/>
    <n v="17"/>
    <n v="0"/>
    <x v="1"/>
  </r>
  <r>
    <n v="44"/>
    <x v="1"/>
    <s v="Travel_Rarely"/>
    <n v="625"/>
    <x v="1"/>
    <n v="4"/>
    <x v="3"/>
    <x v="2"/>
    <n v="1"/>
    <n v="852"/>
    <n v="4"/>
    <x v="1"/>
    <n v="50"/>
    <n v="3"/>
    <n v="2"/>
    <x v="4"/>
    <n v="2"/>
    <x v="0"/>
    <n v="5933"/>
    <n v="5197"/>
    <n v="9"/>
    <s v="Y"/>
    <s v="No"/>
    <n v="12"/>
    <n v="3"/>
    <n v="4"/>
    <n v="80"/>
    <n v="0"/>
    <n v="10"/>
    <n v="2"/>
    <n v="2"/>
    <n v="5"/>
    <n v="2"/>
    <n v="2"/>
    <n v="3"/>
    <n v="0"/>
    <x v="0"/>
  </r>
  <r>
    <n v="25"/>
    <x v="1"/>
    <s v="Travel_Rarely"/>
    <n v="180"/>
    <x v="1"/>
    <n v="2"/>
    <x v="1"/>
    <x v="2"/>
    <n v="1"/>
    <n v="854"/>
    <n v="1"/>
    <x v="1"/>
    <n v="65"/>
    <n v="4"/>
    <n v="1"/>
    <x v="1"/>
    <n v="1"/>
    <x v="0"/>
    <n v="3424"/>
    <n v="21632"/>
    <n v="7"/>
    <s v="Y"/>
    <s v="No"/>
    <n v="13"/>
    <n v="3"/>
    <n v="3"/>
    <n v="80"/>
    <n v="0"/>
    <n v="6"/>
    <n v="3"/>
    <n v="2"/>
    <n v="4"/>
    <n v="3"/>
    <n v="0"/>
    <n v="1"/>
    <n v="0"/>
    <x v="2"/>
  </r>
  <r>
    <n v="33"/>
    <x v="1"/>
    <s v="Travel_Rarely"/>
    <n v="586"/>
    <x v="0"/>
    <n v="1"/>
    <x v="3"/>
    <x v="2"/>
    <n v="1"/>
    <n v="855"/>
    <n v="1"/>
    <x v="1"/>
    <n v="48"/>
    <n v="4"/>
    <n v="2"/>
    <x v="0"/>
    <n v="1"/>
    <x v="2"/>
    <n v="4037"/>
    <n v="21816"/>
    <n v="1"/>
    <s v="Y"/>
    <s v="No"/>
    <n v="22"/>
    <n v="4"/>
    <n v="1"/>
    <n v="80"/>
    <n v="1"/>
    <n v="9"/>
    <n v="5"/>
    <n v="3"/>
    <n v="9"/>
    <n v="8"/>
    <n v="0"/>
    <n v="8"/>
    <n v="0"/>
    <x v="2"/>
  </r>
  <r>
    <n v="35"/>
    <x v="1"/>
    <s v="Travel_Rarely"/>
    <n v="1343"/>
    <x v="1"/>
    <n v="27"/>
    <x v="1"/>
    <x v="2"/>
    <n v="1"/>
    <n v="856"/>
    <n v="3"/>
    <x v="0"/>
    <n v="53"/>
    <n v="2"/>
    <n v="1"/>
    <x v="1"/>
    <n v="1"/>
    <x v="0"/>
    <n v="2559"/>
    <n v="17852"/>
    <n v="1"/>
    <s v="Y"/>
    <s v="No"/>
    <n v="11"/>
    <n v="3"/>
    <n v="4"/>
    <n v="80"/>
    <n v="0"/>
    <n v="6"/>
    <n v="3"/>
    <n v="2"/>
    <n v="6"/>
    <n v="5"/>
    <n v="1"/>
    <n v="1"/>
    <n v="0"/>
    <x v="0"/>
  </r>
  <r>
    <n v="36"/>
    <x v="1"/>
    <s v="Travel_Rarely"/>
    <n v="928"/>
    <x v="0"/>
    <n v="1"/>
    <x v="0"/>
    <x v="0"/>
    <n v="1"/>
    <n v="857"/>
    <n v="2"/>
    <x v="1"/>
    <n v="56"/>
    <n v="3"/>
    <n v="2"/>
    <x v="0"/>
    <n v="4"/>
    <x v="1"/>
    <n v="6201"/>
    <n v="2823"/>
    <n v="1"/>
    <s v="Y"/>
    <s v="Yes"/>
    <n v="14"/>
    <n v="3"/>
    <n v="4"/>
    <n v="80"/>
    <n v="1"/>
    <n v="18"/>
    <n v="1"/>
    <n v="2"/>
    <n v="18"/>
    <n v="14"/>
    <n v="4"/>
    <n v="11"/>
    <n v="0"/>
    <x v="0"/>
  </r>
  <r>
    <n v="32"/>
    <x v="1"/>
    <s v="Travel_Rarely"/>
    <n v="117"/>
    <x v="0"/>
    <n v="13"/>
    <x v="2"/>
    <x v="0"/>
    <n v="1"/>
    <n v="859"/>
    <n v="2"/>
    <x v="1"/>
    <n v="73"/>
    <n v="3"/>
    <n v="2"/>
    <x v="0"/>
    <n v="4"/>
    <x v="2"/>
    <n v="4403"/>
    <n v="9250"/>
    <n v="2"/>
    <s v="Y"/>
    <s v="No"/>
    <n v="11"/>
    <n v="3"/>
    <n v="3"/>
    <n v="80"/>
    <n v="1"/>
    <n v="8"/>
    <n v="3"/>
    <n v="2"/>
    <n v="5"/>
    <n v="2"/>
    <n v="0"/>
    <n v="3"/>
    <n v="0"/>
    <x v="2"/>
  </r>
  <r>
    <n v="30"/>
    <x v="1"/>
    <s v="Travel_Frequently"/>
    <n v="1012"/>
    <x v="1"/>
    <n v="5"/>
    <x v="2"/>
    <x v="0"/>
    <n v="1"/>
    <n v="861"/>
    <n v="2"/>
    <x v="1"/>
    <n v="75"/>
    <n v="2"/>
    <n v="1"/>
    <x v="1"/>
    <n v="4"/>
    <x v="2"/>
    <n v="3761"/>
    <n v="2373"/>
    <n v="9"/>
    <s v="Y"/>
    <s v="No"/>
    <n v="12"/>
    <n v="3"/>
    <n v="2"/>
    <n v="80"/>
    <n v="1"/>
    <n v="10"/>
    <n v="3"/>
    <n v="2"/>
    <n v="5"/>
    <n v="4"/>
    <n v="0"/>
    <n v="3"/>
    <n v="0"/>
    <x v="2"/>
  </r>
  <r>
    <n v="53"/>
    <x v="1"/>
    <s v="Travel_Rarely"/>
    <n v="661"/>
    <x v="0"/>
    <n v="7"/>
    <x v="0"/>
    <x v="3"/>
    <n v="1"/>
    <n v="862"/>
    <n v="1"/>
    <x v="0"/>
    <n v="78"/>
    <n v="2"/>
    <n v="3"/>
    <x v="0"/>
    <n v="4"/>
    <x v="1"/>
    <n v="10934"/>
    <n v="20715"/>
    <n v="7"/>
    <s v="Y"/>
    <s v="Yes"/>
    <n v="18"/>
    <n v="3"/>
    <n v="4"/>
    <n v="80"/>
    <n v="1"/>
    <n v="35"/>
    <n v="3"/>
    <n v="3"/>
    <n v="5"/>
    <n v="2"/>
    <n v="0"/>
    <n v="4"/>
    <n v="0"/>
    <x v="1"/>
  </r>
  <r>
    <n v="45"/>
    <x v="1"/>
    <s v="Travel_Rarely"/>
    <n v="930"/>
    <x v="0"/>
    <n v="9"/>
    <x v="3"/>
    <x v="3"/>
    <n v="1"/>
    <n v="864"/>
    <n v="4"/>
    <x v="1"/>
    <n v="74"/>
    <n v="3"/>
    <n v="3"/>
    <x v="0"/>
    <n v="1"/>
    <x v="2"/>
    <n v="10761"/>
    <n v="19239"/>
    <n v="4"/>
    <s v="Y"/>
    <s v="Yes"/>
    <n v="12"/>
    <n v="3"/>
    <n v="3"/>
    <n v="80"/>
    <n v="1"/>
    <n v="18"/>
    <n v="2"/>
    <n v="3"/>
    <n v="5"/>
    <n v="4"/>
    <n v="0"/>
    <n v="2"/>
    <n v="0"/>
    <x v="1"/>
  </r>
  <r>
    <n v="32"/>
    <x v="1"/>
    <s v="Travel_Rarely"/>
    <n v="638"/>
    <x v="1"/>
    <n v="8"/>
    <x v="0"/>
    <x v="2"/>
    <n v="1"/>
    <n v="865"/>
    <n v="3"/>
    <x v="0"/>
    <n v="91"/>
    <n v="4"/>
    <n v="2"/>
    <x v="1"/>
    <n v="3"/>
    <x v="1"/>
    <n v="5175"/>
    <n v="22162"/>
    <n v="5"/>
    <s v="Y"/>
    <s v="No"/>
    <n v="12"/>
    <n v="3"/>
    <n v="3"/>
    <n v="80"/>
    <n v="1"/>
    <n v="9"/>
    <n v="3"/>
    <n v="2"/>
    <n v="5"/>
    <n v="3"/>
    <n v="1"/>
    <n v="3"/>
    <n v="0"/>
    <x v="2"/>
  </r>
  <r>
    <n v="52"/>
    <x v="1"/>
    <s v="Travel_Frequently"/>
    <n v="890"/>
    <x v="1"/>
    <n v="25"/>
    <x v="2"/>
    <x v="2"/>
    <n v="1"/>
    <n v="867"/>
    <n v="3"/>
    <x v="0"/>
    <n v="81"/>
    <n v="2"/>
    <n v="4"/>
    <x v="3"/>
    <n v="4"/>
    <x v="1"/>
    <n v="13826"/>
    <n v="19028"/>
    <n v="3"/>
    <s v="Y"/>
    <s v="No"/>
    <n v="22"/>
    <n v="4"/>
    <n v="3"/>
    <n v="80"/>
    <n v="0"/>
    <n v="31"/>
    <n v="3"/>
    <n v="3"/>
    <n v="9"/>
    <n v="8"/>
    <n v="0"/>
    <n v="0"/>
    <n v="0"/>
    <x v="1"/>
  </r>
  <r>
    <n v="37"/>
    <x v="1"/>
    <s v="Travel_Rarely"/>
    <n v="342"/>
    <x v="0"/>
    <n v="16"/>
    <x v="2"/>
    <x v="3"/>
    <n v="1"/>
    <n v="868"/>
    <n v="4"/>
    <x v="1"/>
    <n v="66"/>
    <n v="2"/>
    <n v="2"/>
    <x v="0"/>
    <n v="3"/>
    <x v="2"/>
    <n v="6334"/>
    <n v="24558"/>
    <n v="4"/>
    <s v="Y"/>
    <s v="No"/>
    <n v="19"/>
    <n v="3"/>
    <n v="4"/>
    <n v="80"/>
    <n v="2"/>
    <n v="9"/>
    <n v="2"/>
    <n v="3"/>
    <n v="1"/>
    <n v="0"/>
    <n v="0"/>
    <n v="0"/>
    <n v="0"/>
    <x v="0"/>
  </r>
  <r>
    <n v="28"/>
    <x v="1"/>
    <s v="Travel_Rarely"/>
    <n v="1169"/>
    <x v="2"/>
    <n v="8"/>
    <x v="0"/>
    <x v="2"/>
    <n v="1"/>
    <n v="869"/>
    <n v="2"/>
    <x v="1"/>
    <n v="63"/>
    <n v="2"/>
    <n v="1"/>
    <x v="8"/>
    <n v="4"/>
    <x v="2"/>
    <n v="4936"/>
    <n v="23965"/>
    <n v="1"/>
    <s v="Y"/>
    <s v="No"/>
    <n v="13"/>
    <n v="3"/>
    <n v="4"/>
    <n v="80"/>
    <n v="1"/>
    <n v="6"/>
    <n v="6"/>
    <n v="3"/>
    <n v="5"/>
    <n v="1"/>
    <n v="0"/>
    <n v="4"/>
    <n v="0"/>
    <x v="2"/>
  </r>
  <r>
    <n v="22"/>
    <x v="1"/>
    <s v="Travel_Rarely"/>
    <n v="1230"/>
    <x v="1"/>
    <n v="1"/>
    <x v="0"/>
    <x v="0"/>
    <n v="1"/>
    <n v="872"/>
    <n v="4"/>
    <x v="1"/>
    <n v="33"/>
    <n v="2"/>
    <n v="2"/>
    <x v="3"/>
    <n v="4"/>
    <x v="1"/>
    <n v="4775"/>
    <n v="19146"/>
    <n v="6"/>
    <s v="Y"/>
    <s v="No"/>
    <n v="22"/>
    <n v="4"/>
    <n v="1"/>
    <n v="80"/>
    <n v="2"/>
    <n v="4"/>
    <n v="2"/>
    <n v="1"/>
    <n v="2"/>
    <n v="2"/>
    <n v="2"/>
    <n v="2"/>
    <n v="0"/>
    <x v="4"/>
  </r>
  <r>
    <n v="44"/>
    <x v="1"/>
    <s v="Travel_Rarely"/>
    <n v="986"/>
    <x v="1"/>
    <n v="8"/>
    <x v="2"/>
    <x v="0"/>
    <n v="1"/>
    <n v="874"/>
    <n v="1"/>
    <x v="1"/>
    <n v="62"/>
    <n v="4"/>
    <n v="1"/>
    <x v="2"/>
    <n v="4"/>
    <x v="1"/>
    <n v="2818"/>
    <n v="5044"/>
    <n v="2"/>
    <s v="Y"/>
    <s v="Yes"/>
    <n v="24"/>
    <n v="4"/>
    <n v="3"/>
    <n v="80"/>
    <n v="1"/>
    <n v="10"/>
    <n v="2"/>
    <n v="2"/>
    <n v="3"/>
    <n v="2"/>
    <n v="0"/>
    <n v="2"/>
    <n v="0"/>
    <x v="0"/>
  </r>
  <r>
    <n v="42"/>
    <x v="1"/>
    <s v="Travel_Frequently"/>
    <n v="1271"/>
    <x v="1"/>
    <n v="2"/>
    <x v="1"/>
    <x v="2"/>
    <n v="1"/>
    <n v="875"/>
    <n v="2"/>
    <x v="1"/>
    <n v="35"/>
    <n v="3"/>
    <n v="1"/>
    <x v="1"/>
    <n v="4"/>
    <x v="0"/>
    <n v="2515"/>
    <n v="9068"/>
    <n v="5"/>
    <s v="Y"/>
    <s v="Yes"/>
    <n v="14"/>
    <n v="3"/>
    <n v="4"/>
    <n v="80"/>
    <n v="0"/>
    <n v="8"/>
    <n v="2"/>
    <n v="3"/>
    <n v="2"/>
    <n v="1"/>
    <n v="2"/>
    <n v="2"/>
    <n v="0"/>
    <x v="0"/>
  </r>
  <r>
    <n v="36"/>
    <x v="1"/>
    <s v="Travel_Rarely"/>
    <n v="1278"/>
    <x v="2"/>
    <n v="8"/>
    <x v="3"/>
    <x v="0"/>
    <n v="1"/>
    <n v="878"/>
    <n v="1"/>
    <x v="1"/>
    <n v="77"/>
    <n v="2"/>
    <n v="1"/>
    <x v="8"/>
    <n v="1"/>
    <x v="1"/>
    <n v="2342"/>
    <n v="8635"/>
    <n v="0"/>
    <s v="Y"/>
    <s v="No"/>
    <n v="21"/>
    <n v="4"/>
    <n v="3"/>
    <n v="80"/>
    <n v="0"/>
    <n v="6"/>
    <n v="3"/>
    <n v="3"/>
    <n v="5"/>
    <n v="4"/>
    <n v="0"/>
    <n v="3"/>
    <n v="0"/>
    <x v="0"/>
  </r>
  <r>
    <n v="25"/>
    <x v="1"/>
    <s v="Travel_Rarely"/>
    <n v="141"/>
    <x v="0"/>
    <n v="3"/>
    <x v="1"/>
    <x v="1"/>
    <n v="1"/>
    <n v="879"/>
    <n v="3"/>
    <x v="1"/>
    <n v="98"/>
    <n v="3"/>
    <n v="2"/>
    <x v="0"/>
    <n v="1"/>
    <x v="1"/>
    <n v="4194"/>
    <n v="14363"/>
    <n v="1"/>
    <s v="Y"/>
    <s v="Yes"/>
    <n v="18"/>
    <n v="3"/>
    <n v="4"/>
    <n v="80"/>
    <n v="0"/>
    <n v="5"/>
    <n v="3"/>
    <n v="3"/>
    <n v="5"/>
    <n v="3"/>
    <n v="0"/>
    <n v="3"/>
    <n v="0"/>
    <x v="2"/>
  </r>
  <r>
    <n v="35"/>
    <x v="1"/>
    <s v="Travel_Rarely"/>
    <n v="607"/>
    <x v="1"/>
    <n v="9"/>
    <x v="3"/>
    <x v="0"/>
    <n v="1"/>
    <n v="880"/>
    <n v="4"/>
    <x v="0"/>
    <n v="66"/>
    <n v="2"/>
    <n v="3"/>
    <x v="3"/>
    <n v="3"/>
    <x v="1"/>
    <n v="10685"/>
    <n v="23457"/>
    <n v="1"/>
    <s v="Y"/>
    <s v="Yes"/>
    <n v="20"/>
    <n v="4"/>
    <n v="2"/>
    <n v="80"/>
    <n v="1"/>
    <n v="17"/>
    <n v="2"/>
    <n v="3"/>
    <n v="17"/>
    <n v="14"/>
    <n v="5"/>
    <n v="15"/>
    <n v="0"/>
    <x v="0"/>
  </r>
  <r>
    <n v="35"/>
    <x v="0"/>
    <s v="Travel_Frequently"/>
    <n v="130"/>
    <x v="1"/>
    <n v="25"/>
    <x v="2"/>
    <x v="0"/>
    <n v="1"/>
    <n v="881"/>
    <n v="4"/>
    <x v="0"/>
    <n v="96"/>
    <n v="3"/>
    <n v="1"/>
    <x v="1"/>
    <n v="2"/>
    <x v="2"/>
    <n v="2022"/>
    <n v="16612"/>
    <n v="1"/>
    <s v="Y"/>
    <s v="Yes"/>
    <n v="19"/>
    <n v="3"/>
    <n v="1"/>
    <n v="80"/>
    <n v="1"/>
    <n v="10"/>
    <n v="3"/>
    <n v="2"/>
    <n v="10"/>
    <n v="2"/>
    <n v="7"/>
    <n v="8"/>
    <n v="1"/>
    <x v="0"/>
  </r>
  <r>
    <n v="32"/>
    <x v="1"/>
    <s v="Non-Travel"/>
    <n v="300"/>
    <x v="1"/>
    <n v="1"/>
    <x v="3"/>
    <x v="0"/>
    <n v="1"/>
    <n v="882"/>
    <n v="4"/>
    <x v="1"/>
    <n v="61"/>
    <n v="3"/>
    <n v="1"/>
    <x v="2"/>
    <n v="4"/>
    <x v="2"/>
    <n v="2314"/>
    <n v="9148"/>
    <n v="0"/>
    <s v="Y"/>
    <s v="No"/>
    <n v="12"/>
    <n v="3"/>
    <n v="2"/>
    <n v="80"/>
    <n v="1"/>
    <n v="4"/>
    <n v="2"/>
    <n v="3"/>
    <n v="3"/>
    <n v="0"/>
    <n v="0"/>
    <n v="2"/>
    <n v="0"/>
    <x v="2"/>
  </r>
  <r>
    <n v="25"/>
    <x v="1"/>
    <s v="Travel_Rarely"/>
    <n v="583"/>
    <x v="0"/>
    <n v="4"/>
    <x v="1"/>
    <x v="3"/>
    <n v="1"/>
    <n v="885"/>
    <n v="3"/>
    <x v="1"/>
    <n v="87"/>
    <n v="2"/>
    <n v="2"/>
    <x v="0"/>
    <n v="1"/>
    <x v="1"/>
    <n v="4256"/>
    <n v="18154"/>
    <n v="1"/>
    <s v="Y"/>
    <s v="No"/>
    <n v="12"/>
    <n v="3"/>
    <n v="1"/>
    <n v="80"/>
    <n v="0"/>
    <n v="5"/>
    <n v="1"/>
    <n v="4"/>
    <n v="5"/>
    <n v="2"/>
    <n v="0"/>
    <n v="3"/>
    <n v="0"/>
    <x v="2"/>
  </r>
  <r>
    <n v="49"/>
    <x v="1"/>
    <s v="Travel_Rarely"/>
    <n v="1418"/>
    <x v="1"/>
    <n v="1"/>
    <x v="3"/>
    <x v="4"/>
    <n v="1"/>
    <n v="887"/>
    <n v="3"/>
    <x v="0"/>
    <n v="36"/>
    <n v="3"/>
    <n v="1"/>
    <x v="1"/>
    <n v="1"/>
    <x v="1"/>
    <n v="3580"/>
    <n v="10554"/>
    <n v="2"/>
    <s v="Y"/>
    <s v="No"/>
    <n v="16"/>
    <n v="3"/>
    <n v="2"/>
    <n v="80"/>
    <n v="1"/>
    <n v="7"/>
    <n v="2"/>
    <n v="3"/>
    <n v="4"/>
    <n v="2"/>
    <n v="0"/>
    <n v="2"/>
    <n v="0"/>
    <x v="1"/>
  </r>
  <r>
    <n v="24"/>
    <x v="1"/>
    <s v="Non-Travel"/>
    <n v="1269"/>
    <x v="1"/>
    <n v="4"/>
    <x v="1"/>
    <x v="0"/>
    <n v="1"/>
    <n v="888"/>
    <n v="1"/>
    <x v="1"/>
    <n v="46"/>
    <n v="2"/>
    <n v="1"/>
    <x v="2"/>
    <n v="4"/>
    <x v="1"/>
    <n v="3162"/>
    <n v="10778"/>
    <n v="0"/>
    <s v="Y"/>
    <s v="No"/>
    <n v="17"/>
    <n v="3"/>
    <n v="4"/>
    <n v="80"/>
    <n v="0"/>
    <n v="6"/>
    <n v="2"/>
    <n v="2"/>
    <n v="5"/>
    <n v="2"/>
    <n v="3"/>
    <n v="4"/>
    <n v="0"/>
    <x v="4"/>
  </r>
  <r>
    <n v="32"/>
    <x v="1"/>
    <s v="Travel_Frequently"/>
    <n v="379"/>
    <x v="0"/>
    <n v="5"/>
    <x v="0"/>
    <x v="0"/>
    <n v="1"/>
    <n v="889"/>
    <n v="2"/>
    <x v="1"/>
    <n v="48"/>
    <n v="3"/>
    <n v="2"/>
    <x v="0"/>
    <n v="2"/>
    <x v="1"/>
    <n v="6524"/>
    <n v="8891"/>
    <n v="1"/>
    <s v="Y"/>
    <s v="No"/>
    <n v="14"/>
    <n v="3"/>
    <n v="4"/>
    <n v="80"/>
    <n v="1"/>
    <n v="10"/>
    <n v="3"/>
    <n v="3"/>
    <n v="10"/>
    <n v="8"/>
    <n v="5"/>
    <n v="3"/>
    <n v="0"/>
    <x v="2"/>
  </r>
  <r>
    <n v="38"/>
    <x v="1"/>
    <s v="Travel_Rarely"/>
    <n v="395"/>
    <x v="0"/>
    <n v="9"/>
    <x v="3"/>
    <x v="3"/>
    <n v="1"/>
    <n v="893"/>
    <n v="2"/>
    <x v="1"/>
    <n v="98"/>
    <n v="2"/>
    <n v="1"/>
    <x v="6"/>
    <n v="2"/>
    <x v="1"/>
    <n v="2899"/>
    <n v="12102"/>
    <n v="0"/>
    <s v="Y"/>
    <s v="No"/>
    <n v="19"/>
    <n v="3"/>
    <n v="4"/>
    <n v="80"/>
    <n v="1"/>
    <n v="3"/>
    <n v="3"/>
    <n v="3"/>
    <n v="2"/>
    <n v="2"/>
    <n v="1"/>
    <n v="2"/>
    <n v="0"/>
    <x v="0"/>
  </r>
  <r>
    <n v="42"/>
    <x v="1"/>
    <s v="Travel_Rarely"/>
    <n v="1265"/>
    <x v="1"/>
    <n v="3"/>
    <x v="3"/>
    <x v="0"/>
    <n v="1"/>
    <n v="894"/>
    <n v="3"/>
    <x v="0"/>
    <n v="95"/>
    <n v="4"/>
    <n v="2"/>
    <x v="2"/>
    <n v="4"/>
    <x v="1"/>
    <n v="5231"/>
    <n v="23726"/>
    <n v="2"/>
    <s v="Y"/>
    <s v="Yes"/>
    <n v="13"/>
    <n v="3"/>
    <n v="2"/>
    <n v="80"/>
    <n v="1"/>
    <n v="17"/>
    <n v="1"/>
    <n v="2"/>
    <n v="5"/>
    <n v="3"/>
    <n v="1"/>
    <n v="3"/>
    <n v="0"/>
    <x v="0"/>
  </r>
  <r>
    <n v="31"/>
    <x v="1"/>
    <s v="Travel_Rarely"/>
    <n v="1222"/>
    <x v="1"/>
    <n v="11"/>
    <x v="2"/>
    <x v="0"/>
    <n v="1"/>
    <n v="895"/>
    <n v="4"/>
    <x v="1"/>
    <n v="48"/>
    <n v="3"/>
    <n v="1"/>
    <x v="1"/>
    <n v="4"/>
    <x v="1"/>
    <n v="2356"/>
    <n v="14871"/>
    <n v="3"/>
    <s v="Y"/>
    <s v="Yes"/>
    <n v="19"/>
    <n v="3"/>
    <n v="2"/>
    <n v="80"/>
    <n v="1"/>
    <n v="8"/>
    <n v="2"/>
    <n v="3"/>
    <n v="6"/>
    <n v="4"/>
    <n v="0"/>
    <n v="2"/>
    <n v="0"/>
    <x v="2"/>
  </r>
  <r>
    <n v="29"/>
    <x v="0"/>
    <s v="Travel_Rarely"/>
    <n v="341"/>
    <x v="0"/>
    <n v="1"/>
    <x v="3"/>
    <x v="2"/>
    <n v="1"/>
    <n v="896"/>
    <n v="2"/>
    <x v="0"/>
    <n v="48"/>
    <n v="2"/>
    <n v="1"/>
    <x v="6"/>
    <n v="3"/>
    <x v="2"/>
    <n v="2800"/>
    <n v="23522"/>
    <n v="6"/>
    <s v="Y"/>
    <s v="Yes"/>
    <n v="19"/>
    <n v="3"/>
    <n v="3"/>
    <n v="80"/>
    <n v="3"/>
    <n v="5"/>
    <n v="3"/>
    <n v="3"/>
    <n v="3"/>
    <n v="2"/>
    <n v="0"/>
    <n v="2"/>
    <n v="1"/>
    <x v="2"/>
  </r>
  <r>
    <n v="53"/>
    <x v="1"/>
    <s v="Travel_Rarely"/>
    <n v="868"/>
    <x v="0"/>
    <n v="8"/>
    <x v="3"/>
    <x v="3"/>
    <n v="1"/>
    <n v="897"/>
    <n v="1"/>
    <x v="1"/>
    <n v="73"/>
    <n v="3"/>
    <n v="4"/>
    <x v="0"/>
    <n v="4"/>
    <x v="1"/>
    <n v="11836"/>
    <n v="22789"/>
    <n v="5"/>
    <s v="Y"/>
    <s v="No"/>
    <n v="14"/>
    <n v="3"/>
    <n v="3"/>
    <n v="80"/>
    <n v="1"/>
    <n v="28"/>
    <n v="3"/>
    <n v="3"/>
    <n v="2"/>
    <n v="0"/>
    <n v="2"/>
    <n v="2"/>
    <n v="0"/>
    <x v="1"/>
  </r>
  <r>
    <n v="35"/>
    <x v="1"/>
    <s v="Travel_Rarely"/>
    <n v="672"/>
    <x v="1"/>
    <n v="25"/>
    <x v="3"/>
    <x v="4"/>
    <n v="1"/>
    <n v="899"/>
    <n v="4"/>
    <x v="1"/>
    <n v="78"/>
    <n v="2"/>
    <n v="3"/>
    <x v="3"/>
    <n v="2"/>
    <x v="1"/>
    <n v="10903"/>
    <n v="9129"/>
    <n v="3"/>
    <s v="Y"/>
    <s v="No"/>
    <n v="16"/>
    <n v="3"/>
    <n v="1"/>
    <n v="80"/>
    <n v="0"/>
    <n v="16"/>
    <n v="2"/>
    <n v="3"/>
    <n v="13"/>
    <n v="10"/>
    <n v="4"/>
    <n v="8"/>
    <n v="0"/>
    <x v="0"/>
  </r>
  <r>
    <n v="37"/>
    <x v="1"/>
    <s v="Travel_Frequently"/>
    <n v="1231"/>
    <x v="0"/>
    <n v="21"/>
    <x v="0"/>
    <x v="2"/>
    <n v="1"/>
    <n v="900"/>
    <n v="3"/>
    <x v="0"/>
    <n v="54"/>
    <n v="3"/>
    <n v="1"/>
    <x v="6"/>
    <n v="4"/>
    <x v="1"/>
    <n v="2973"/>
    <n v="21222"/>
    <n v="5"/>
    <s v="Y"/>
    <s v="No"/>
    <n v="15"/>
    <n v="3"/>
    <n v="2"/>
    <n v="80"/>
    <n v="1"/>
    <n v="10"/>
    <n v="3"/>
    <n v="3"/>
    <n v="5"/>
    <n v="4"/>
    <n v="0"/>
    <n v="0"/>
    <n v="0"/>
    <x v="0"/>
  </r>
  <r>
    <n v="53"/>
    <x v="1"/>
    <s v="Travel_Rarely"/>
    <n v="102"/>
    <x v="1"/>
    <n v="23"/>
    <x v="2"/>
    <x v="0"/>
    <n v="1"/>
    <n v="901"/>
    <n v="4"/>
    <x v="0"/>
    <n v="72"/>
    <n v="3"/>
    <n v="4"/>
    <x v="7"/>
    <n v="4"/>
    <x v="0"/>
    <n v="14275"/>
    <n v="20206"/>
    <n v="6"/>
    <s v="Y"/>
    <s v="No"/>
    <n v="18"/>
    <n v="3"/>
    <n v="3"/>
    <n v="80"/>
    <n v="0"/>
    <n v="33"/>
    <n v="0"/>
    <n v="3"/>
    <n v="12"/>
    <n v="9"/>
    <n v="3"/>
    <n v="8"/>
    <n v="0"/>
    <x v="1"/>
  </r>
  <r>
    <n v="43"/>
    <x v="1"/>
    <s v="Travel_Frequently"/>
    <n v="422"/>
    <x v="1"/>
    <n v="1"/>
    <x v="3"/>
    <x v="0"/>
    <n v="1"/>
    <n v="902"/>
    <n v="4"/>
    <x v="0"/>
    <n v="33"/>
    <n v="3"/>
    <n v="2"/>
    <x v="4"/>
    <n v="4"/>
    <x v="1"/>
    <n v="5562"/>
    <n v="21782"/>
    <n v="4"/>
    <s v="Y"/>
    <s v="No"/>
    <n v="13"/>
    <n v="3"/>
    <n v="2"/>
    <n v="80"/>
    <n v="1"/>
    <n v="12"/>
    <n v="2"/>
    <n v="2"/>
    <n v="5"/>
    <n v="2"/>
    <n v="2"/>
    <n v="2"/>
    <n v="0"/>
    <x v="0"/>
  </r>
  <r>
    <n v="47"/>
    <x v="1"/>
    <s v="Travel_Rarely"/>
    <n v="249"/>
    <x v="0"/>
    <n v="2"/>
    <x v="0"/>
    <x v="3"/>
    <n v="1"/>
    <n v="903"/>
    <n v="3"/>
    <x v="0"/>
    <n v="35"/>
    <n v="3"/>
    <n v="2"/>
    <x v="0"/>
    <n v="4"/>
    <x v="1"/>
    <n v="4537"/>
    <n v="17783"/>
    <n v="0"/>
    <s v="Y"/>
    <s v="Yes"/>
    <n v="22"/>
    <n v="4"/>
    <n v="1"/>
    <n v="80"/>
    <n v="1"/>
    <n v="8"/>
    <n v="2"/>
    <n v="3"/>
    <n v="7"/>
    <n v="6"/>
    <n v="7"/>
    <n v="7"/>
    <n v="0"/>
    <x v="1"/>
  </r>
  <r>
    <n v="37"/>
    <x v="1"/>
    <s v="Non-Travel"/>
    <n v="1252"/>
    <x v="0"/>
    <n v="19"/>
    <x v="0"/>
    <x v="2"/>
    <n v="1"/>
    <n v="904"/>
    <n v="1"/>
    <x v="1"/>
    <n v="32"/>
    <n v="3"/>
    <n v="3"/>
    <x v="0"/>
    <n v="2"/>
    <x v="0"/>
    <n v="7642"/>
    <n v="4814"/>
    <n v="1"/>
    <s v="Y"/>
    <s v="Yes"/>
    <n v="13"/>
    <n v="3"/>
    <n v="4"/>
    <n v="80"/>
    <n v="0"/>
    <n v="10"/>
    <n v="2"/>
    <n v="3"/>
    <n v="10"/>
    <n v="0"/>
    <n v="0"/>
    <n v="9"/>
    <n v="0"/>
    <x v="0"/>
  </r>
  <r>
    <n v="50"/>
    <x v="1"/>
    <s v="Non-Travel"/>
    <n v="881"/>
    <x v="1"/>
    <n v="2"/>
    <x v="2"/>
    <x v="0"/>
    <n v="1"/>
    <n v="905"/>
    <n v="1"/>
    <x v="1"/>
    <n v="98"/>
    <n v="3"/>
    <n v="4"/>
    <x v="5"/>
    <n v="1"/>
    <x v="2"/>
    <n v="17924"/>
    <n v="4544"/>
    <n v="1"/>
    <s v="Y"/>
    <s v="No"/>
    <n v="11"/>
    <n v="3"/>
    <n v="4"/>
    <n v="80"/>
    <n v="1"/>
    <n v="31"/>
    <n v="3"/>
    <n v="3"/>
    <n v="31"/>
    <n v="6"/>
    <n v="14"/>
    <n v="7"/>
    <n v="0"/>
    <x v="1"/>
  </r>
  <r>
    <n v="39"/>
    <x v="1"/>
    <s v="Travel_Rarely"/>
    <n v="1383"/>
    <x v="2"/>
    <n v="2"/>
    <x v="3"/>
    <x v="0"/>
    <n v="1"/>
    <n v="909"/>
    <n v="4"/>
    <x v="0"/>
    <n v="42"/>
    <n v="2"/>
    <n v="2"/>
    <x v="8"/>
    <n v="4"/>
    <x v="1"/>
    <n v="5204"/>
    <n v="7790"/>
    <n v="8"/>
    <s v="Y"/>
    <s v="No"/>
    <n v="11"/>
    <n v="3"/>
    <n v="3"/>
    <n v="80"/>
    <n v="2"/>
    <n v="13"/>
    <n v="2"/>
    <n v="3"/>
    <n v="5"/>
    <n v="4"/>
    <n v="0"/>
    <n v="4"/>
    <n v="0"/>
    <x v="0"/>
  </r>
  <r>
    <n v="33"/>
    <x v="1"/>
    <s v="Travel_Rarely"/>
    <n v="1075"/>
    <x v="2"/>
    <n v="3"/>
    <x v="0"/>
    <x v="5"/>
    <n v="1"/>
    <n v="910"/>
    <n v="4"/>
    <x v="1"/>
    <n v="57"/>
    <n v="3"/>
    <n v="1"/>
    <x v="8"/>
    <n v="2"/>
    <x v="2"/>
    <n v="2277"/>
    <n v="22650"/>
    <n v="3"/>
    <s v="Y"/>
    <s v="Yes"/>
    <n v="11"/>
    <n v="3"/>
    <n v="3"/>
    <n v="80"/>
    <n v="1"/>
    <n v="7"/>
    <n v="4"/>
    <n v="4"/>
    <n v="4"/>
    <n v="3"/>
    <n v="0"/>
    <n v="3"/>
    <n v="0"/>
    <x v="2"/>
  </r>
  <r>
    <n v="32"/>
    <x v="0"/>
    <s v="Travel_Rarely"/>
    <n v="374"/>
    <x v="1"/>
    <n v="25"/>
    <x v="2"/>
    <x v="0"/>
    <n v="1"/>
    <n v="911"/>
    <n v="1"/>
    <x v="1"/>
    <n v="87"/>
    <n v="3"/>
    <n v="1"/>
    <x v="2"/>
    <n v="4"/>
    <x v="0"/>
    <n v="2795"/>
    <n v="18016"/>
    <n v="1"/>
    <s v="Y"/>
    <s v="Yes"/>
    <n v="24"/>
    <n v="4"/>
    <n v="3"/>
    <n v="80"/>
    <n v="0"/>
    <n v="1"/>
    <n v="2"/>
    <n v="1"/>
    <n v="1"/>
    <n v="0"/>
    <n v="0"/>
    <n v="1"/>
    <n v="1"/>
    <x v="2"/>
  </r>
  <r>
    <n v="29"/>
    <x v="1"/>
    <s v="Travel_Rarely"/>
    <n v="1086"/>
    <x v="1"/>
    <n v="7"/>
    <x v="1"/>
    <x v="2"/>
    <n v="1"/>
    <n v="912"/>
    <n v="1"/>
    <x v="0"/>
    <n v="62"/>
    <n v="2"/>
    <n v="1"/>
    <x v="2"/>
    <n v="4"/>
    <x v="2"/>
    <n v="2532"/>
    <n v="6054"/>
    <n v="6"/>
    <s v="Y"/>
    <s v="No"/>
    <n v="14"/>
    <n v="3"/>
    <n v="3"/>
    <n v="80"/>
    <n v="3"/>
    <n v="8"/>
    <n v="5"/>
    <n v="3"/>
    <n v="4"/>
    <n v="3"/>
    <n v="0"/>
    <n v="3"/>
    <n v="0"/>
    <x v="2"/>
  </r>
  <r>
    <n v="44"/>
    <x v="1"/>
    <s v="Travel_Rarely"/>
    <n v="661"/>
    <x v="1"/>
    <n v="9"/>
    <x v="0"/>
    <x v="0"/>
    <n v="1"/>
    <n v="913"/>
    <n v="2"/>
    <x v="1"/>
    <n v="61"/>
    <n v="3"/>
    <n v="1"/>
    <x v="1"/>
    <n v="1"/>
    <x v="1"/>
    <n v="2559"/>
    <n v="7508"/>
    <n v="1"/>
    <s v="Y"/>
    <s v="Yes"/>
    <n v="13"/>
    <n v="3"/>
    <n v="4"/>
    <n v="80"/>
    <n v="0"/>
    <n v="8"/>
    <n v="0"/>
    <n v="3"/>
    <n v="8"/>
    <n v="7"/>
    <n v="7"/>
    <n v="1"/>
    <n v="0"/>
    <x v="0"/>
  </r>
  <r>
    <n v="28"/>
    <x v="1"/>
    <s v="Travel_Rarely"/>
    <n v="821"/>
    <x v="0"/>
    <n v="5"/>
    <x v="2"/>
    <x v="2"/>
    <n v="1"/>
    <n v="916"/>
    <n v="1"/>
    <x v="1"/>
    <n v="98"/>
    <n v="3"/>
    <n v="2"/>
    <x v="0"/>
    <n v="4"/>
    <x v="0"/>
    <n v="4908"/>
    <n v="24252"/>
    <n v="1"/>
    <s v="Y"/>
    <s v="No"/>
    <n v="14"/>
    <n v="3"/>
    <n v="2"/>
    <n v="80"/>
    <n v="0"/>
    <n v="4"/>
    <n v="3"/>
    <n v="3"/>
    <n v="4"/>
    <n v="2"/>
    <n v="0"/>
    <n v="2"/>
    <n v="0"/>
    <x v="2"/>
  </r>
  <r>
    <n v="58"/>
    <x v="0"/>
    <s v="Travel_Frequently"/>
    <n v="781"/>
    <x v="1"/>
    <n v="2"/>
    <x v="1"/>
    <x v="0"/>
    <n v="1"/>
    <n v="918"/>
    <n v="4"/>
    <x v="1"/>
    <n v="57"/>
    <n v="2"/>
    <n v="1"/>
    <x v="2"/>
    <n v="4"/>
    <x v="2"/>
    <n v="2380"/>
    <n v="13384"/>
    <n v="9"/>
    <s v="Y"/>
    <s v="Yes"/>
    <n v="14"/>
    <n v="3"/>
    <n v="4"/>
    <n v="80"/>
    <n v="1"/>
    <n v="3"/>
    <n v="3"/>
    <n v="2"/>
    <n v="1"/>
    <n v="0"/>
    <n v="0"/>
    <n v="0"/>
    <n v="1"/>
    <x v="3"/>
  </r>
  <r>
    <n v="43"/>
    <x v="1"/>
    <s v="Travel_Rarely"/>
    <n v="177"/>
    <x v="1"/>
    <n v="8"/>
    <x v="3"/>
    <x v="0"/>
    <n v="1"/>
    <n v="920"/>
    <n v="1"/>
    <x v="0"/>
    <n v="55"/>
    <n v="3"/>
    <n v="2"/>
    <x v="3"/>
    <n v="2"/>
    <x v="2"/>
    <n v="4765"/>
    <n v="23814"/>
    <n v="4"/>
    <s v="Y"/>
    <s v="No"/>
    <n v="21"/>
    <n v="4"/>
    <n v="3"/>
    <n v="80"/>
    <n v="1"/>
    <n v="4"/>
    <n v="2"/>
    <n v="4"/>
    <n v="1"/>
    <n v="0"/>
    <n v="0"/>
    <n v="0"/>
    <n v="0"/>
    <x v="0"/>
  </r>
  <r>
    <n v="20"/>
    <x v="0"/>
    <s v="Travel_Rarely"/>
    <n v="500"/>
    <x v="0"/>
    <n v="2"/>
    <x v="3"/>
    <x v="2"/>
    <n v="1"/>
    <n v="922"/>
    <n v="3"/>
    <x v="0"/>
    <n v="49"/>
    <n v="2"/>
    <n v="1"/>
    <x v="6"/>
    <n v="3"/>
    <x v="0"/>
    <n v="2044"/>
    <n v="22052"/>
    <n v="1"/>
    <s v="Y"/>
    <s v="No"/>
    <n v="13"/>
    <n v="3"/>
    <n v="4"/>
    <n v="80"/>
    <n v="0"/>
    <n v="2"/>
    <n v="3"/>
    <n v="2"/>
    <n v="2"/>
    <n v="2"/>
    <n v="0"/>
    <n v="2"/>
    <n v="1"/>
    <x v="4"/>
  </r>
  <r>
    <n v="21"/>
    <x v="0"/>
    <s v="Travel_Rarely"/>
    <n v="1427"/>
    <x v="1"/>
    <n v="18"/>
    <x v="1"/>
    <x v="1"/>
    <n v="1"/>
    <n v="923"/>
    <n v="4"/>
    <x v="0"/>
    <n v="65"/>
    <n v="3"/>
    <n v="1"/>
    <x v="1"/>
    <n v="4"/>
    <x v="0"/>
    <n v="2693"/>
    <n v="8870"/>
    <n v="1"/>
    <s v="Y"/>
    <s v="No"/>
    <n v="19"/>
    <n v="3"/>
    <n v="1"/>
    <n v="80"/>
    <n v="0"/>
    <n v="1"/>
    <n v="3"/>
    <n v="2"/>
    <n v="1"/>
    <n v="0"/>
    <n v="0"/>
    <n v="0"/>
    <n v="1"/>
    <x v="4"/>
  </r>
  <r>
    <n v="36"/>
    <x v="1"/>
    <s v="Travel_Rarely"/>
    <n v="1425"/>
    <x v="1"/>
    <n v="14"/>
    <x v="1"/>
    <x v="0"/>
    <n v="1"/>
    <n v="924"/>
    <n v="3"/>
    <x v="1"/>
    <n v="68"/>
    <n v="3"/>
    <n v="2"/>
    <x v="4"/>
    <n v="4"/>
    <x v="1"/>
    <n v="6586"/>
    <n v="4821"/>
    <n v="0"/>
    <s v="Y"/>
    <s v="Yes"/>
    <n v="17"/>
    <n v="3"/>
    <n v="1"/>
    <n v="80"/>
    <n v="1"/>
    <n v="17"/>
    <n v="2"/>
    <n v="2"/>
    <n v="16"/>
    <n v="8"/>
    <n v="4"/>
    <n v="11"/>
    <n v="0"/>
    <x v="0"/>
  </r>
  <r>
    <n v="47"/>
    <x v="1"/>
    <s v="Travel_Rarely"/>
    <n v="1454"/>
    <x v="0"/>
    <n v="2"/>
    <x v="2"/>
    <x v="0"/>
    <n v="1"/>
    <n v="925"/>
    <n v="4"/>
    <x v="0"/>
    <n v="65"/>
    <n v="2"/>
    <n v="1"/>
    <x v="6"/>
    <n v="4"/>
    <x v="0"/>
    <n v="3294"/>
    <n v="13137"/>
    <n v="1"/>
    <s v="Y"/>
    <s v="Yes"/>
    <n v="18"/>
    <n v="3"/>
    <n v="1"/>
    <n v="80"/>
    <n v="0"/>
    <n v="3"/>
    <n v="3"/>
    <n v="2"/>
    <n v="3"/>
    <n v="2"/>
    <n v="1"/>
    <n v="2"/>
    <n v="0"/>
    <x v="1"/>
  </r>
  <r>
    <n v="22"/>
    <x v="0"/>
    <s v="Travel_Rarely"/>
    <n v="617"/>
    <x v="1"/>
    <n v="3"/>
    <x v="1"/>
    <x v="0"/>
    <n v="1"/>
    <n v="926"/>
    <n v="2"/>
    <x v="0"/>
    <n v="34"/>
    <n v="3"/>
    <n v="2"/>
    <x v="3"/>
    <n v="3"/>
    <x v="1"/>
    <n v="4171"/>
    <n v="10022"/>
    <n v="0"/>
    <s v="Y"/>
    <s v="Yes"/>
    <n v="19"/>
    <n v="3"/>
    <n v="1"/>
    <n v="80"/>
    <n v="1"/>
    <n v="4"/>
    <n v="3"/>
    <n v="4"/>
    <n v="3"/>
    <n v="2"/>
    <n v="0"/>
    <n v="2"/>
    <n v="1"/>
    <x v="4"/>
  </r>
  <r>
    <n v="41"/>
    <x v="0"/>
    <s v="Travel_Rarely"/>
    <n v="1085"/>
    <x v="1"/>
    <n v="2"/>
    <x v="2"/>
    <x v="0"/>
    <n v="1"/>
    <n v="927"/>
    <n v="2"/>
    <x v="0"/>
    <n v="57"/>
    <n v="1"/>
    <n v="1"/>
    <x v="2"/>
    <n v="4"/>
    <x v="2"/>
    <n v="2778"/>
    <n v="17725"/>
    <n v="4"/>
    <s v="Y"/>
    <s v="Yes"/>
    <n v="13"/>
    <n v="3"/>
    <n v="3"/>
    <n v="80"/>
    <n v="1"/>
    <n v="10"/>
    <n v="1"/>
    <n v="2"/>
    <n v="7"/>
    <n v="7"/>
    <n v="1"/>
    <n v="0"/>
    <n v="1"/>
    <x v="0"/>
  </r>
  <r>
    <n v="28"/>
    <x v="1"/>
    <s v="Travel_Rarely"/>
    <n v="995"/>
    <x v="1"/>
    <n v="9"/>
    <x v="3"/>
    <x v="2"/>
    <n v="1"/>
    <n v="930"/>
    <n v="3"/>
    <x v="0"/>
    <n v="77"/>
    <n v="3"/>
    <n v="1"/>
    <x v="1"/>
    <n v="3"/>
    <x v="2"/>
    <n v="2377"/>
    <n v="9834"/>
    <n v="5"/>
    <s v="Y"/>
    <s v="No"/>
    <n v="18"/>
    <n v="3"/>
    <n v="2"/>
    <n v="80"/>
    <n v="1"/>
    <n v="6"/>
    <n v="2"/>
    <n v="3"/>
    <n v="2"/>
    <n v="2"/>
    <n v="2"/>
    <n v="2"/>
    <n v="0"/>
    <x v="2"/>
  </r>
  <r>
    <n v="39"/>
    <x v="0"/>
    <s v="Travel_Rarely"/>
    <n v="1122"/>
    <x v="1"/>
    <n v="6"/>
    <x v="3"/>
    <x v="2"/>
    <n v="1"/>
    <n v="932"/>
    <n v="4"/>
    <x v="1"/>
    <n v="70"/>
    <n v="3"/>
    <n v="1"/>
    <x v="2"/>
    <n v="1"/>
    <x v="1"/>
    <n v="2404"/>
    <n v="4303"/>
    <n v="7"/>
    <s v="Y"/>
    <s v="Yes"/>
    <n v="21"/>
    <n v="4"/>
    <n v="4"/>
    <n v="80"/>
    <n v="0"/>
    <n v="8"/>
    <n v="2"/>
    <n v="1"/>
    <n v="2"/>
    <n v="2"/>
    <n v="2"/>
    <n v="2"/>
    <n v="1"/>
    <x v="0"/>
  </r>
  <r>
    <n v="27"/>
    <x v="1"/>
    <s v="Travel_Rarely"/>
    <n v="618"/>
    <x v="1"/>
    <n v="4"/>
    <x v="3"/>
    <x v="0"/>
    <n v="1"/>
    <n v="933"/>
    <n v="2"/>
    <x v="0"/>
    <n v="76"/>
    <n v="3"/>
    <n v="1"/>
    <x v="1"/>
    <n v="3"/>
    <x v="0"/>
    <n v="2318"/>
    <n v="17808"/>
    <n v="1"/>
    <s v="Y"/>
    <s v="No"/>
    <n v="19"/>
    <n v="3"/>
    <n v="3"/>
    <n v="80"/>
    <n v="0"/>
    <n v="1"/>
    <n v="2"/>
    <n v="3"/>
    <n v="1"/>
    <n v="1"/>
    <n v="0"/>
    <n v="0"/>
    <n v="0"/>
    <x v="2"/>
  </r>
  <r>
    <n v="34"/>
    <x v="1"/>
    <s v="Travel_Rarely"/>
    <n v="546"/>
    <x v="1"/>
    <n v="10"/>
    <x v="3"/>
    <x v="0"/>
    <n v="1"/>
    <n v="934"/>
    <n v="2"/>
    <x v="1"/>
    <n v="83"/>
    <n v="3"/>
    <n v="1"/>
    <x v="2"/>
    <n v="2"/>
    <x v="2"/>
    <n v="2008"/>
    <n v="6896"/>
    <n v="1"/>
    <s v="Y"/>
    <s v="No"/>
    <n v="14"/>
    <n v="3"/>
    <n v="2"/>
    <n v="80"/>
    <n v="2"/>
    <n v="1"/>
    <n v="3"/>
    <n v="3"/>
    <n v="1"/>
    <n v="0"/>
    <n v="1"/>
    <n v="0"/>
    <n v="0"/>
    <x v="2"/>
  </r>
  <r>
    <n v="42"/>
    <x v="1"/>
    <s v="Travel_Rarely"/>
    <n v="462"/>
    <x v="0"/>
    <n v="14"/>
    <x v="0"/>
    <x v="2"/>
    <n v="1"/>
    <n v="936"/>
    <n v="3"/>
    <x v="0"/>
    <n v="68"/>
    <n v="2"/>
    <n v="2"/>
    <x v="0"/>
    <n v="3"/>
    <x v="0"/>
    <n v="6244"/>
    <n v="7824"/>
    <n v="7"/>
    <s v="Y"/>
    <s v="No"/>
    <n v="17"/>
    <n v="3"/>
    <n v="1"/>
    <n v="80"/>
    <n v="0"/>
    <n v="10"/>
    <n v="6"/>
    <n v="3"/>
    <n v="5"/>
    <n v="4"/>
    <n v="0"/>
    <n v="3"/>
    <n v="0"/>
    <x v="0"/>
  </r>
  <r>
    <n v="33"/>
    <x v="1"/>
    <s v="Travel_Rarely"/>
    <n v="1198"/>
    <x v="1"/>
    <n v="1"/>
    <x v="2"/>
    <x v="1"/>
    <n v="1"/>
    <n v="939"/>
    <n v="3"/>
    <x v="1"/>
    <n v="100"/>
    <n v="2"/>
    <n v="1"/>
    <x v="1"/>
    <n v="1"/>
    <x v="0"/>
    <n v="2799"/>
    <n v="3339"/>
    <n v="3"/>
    <s v="Y"/>
    <s v="Yes"/>
    <n v="11"/>
    <n v="3"/>
    <n v="2"/>
    <n v="80"/>
    <n v="0"/>
    <n v="6"/>
    <n v="1"/>
    <n v="3"/>
    <n v="3"/>
    <n v="2"/>
    <n v="0"/>
    <n v="2"/>
    <n v="0"/>
    <x v="2"/>
  </r>
  <r>
    <n v="58"/>
    <x v="1"/>
    <s v="Travel_Rarely"/>
    <n v="1272"/>
    <x v="1"/>
    <n v="5"/>
    <x v="3"/>
    <x v="4"/>
    <n v="1"/>
    <n v="940"/>
    <n v="3"/>
    <x v="0"/>
    <n v="37"/>
    <n v="2"/>
    <n v="3"/>
    <x v="4"/>
    <n v="2"/>
    <x v="2"/>
    <n v="10552"/>
    <n v="9255"/>
    <n v="2"/>
    <s v="Y"/>
    <s v="Yes"/>
    <n v="13"/>
    <n v="3"/>
    <n v="4"/>
    <n v="80"/>
    <n v="1"/>
    <n v="24"/>
    <n v="3"/>
    <n v="3"/>
    <n v="6"/>
    <n v="0"/>
    <n v="0"/>
    <n v="4"/>
    <n v="0"/>
    <x v="3"/>
  </r>
  <r>
    <n v="31"/>
    <x v="1"/>
    <s v="Travel_Rarely"/>
    <n v="154"/>
    <x v="0"/>
    <n v="7"/>
    <x v="2"/>
    <x v="0"/>
    <n v="1"/>
    <n v="941"/>
    <n v="2"/>
    <x v="1"/>
    <n v="41"/>
    <n v="2"/>
    <n v="1"/>
    <x v="6"/>
    <n v="3"/>
    <x v="1"/>
    <n v="2329"/>
    <n v="11737"/>
    <n v="3"/>
    <s v="Y"/>
    <s v="No"/>
    <n v="15"/>
    <n v="3"/>
    <n v="2"/>
    <n v="80"/>
    <n v="0"/>
    <n v="13"/>
    <n v="2"/>
    <n v="4"/>
    <n v="7"/>
    <n v="7"/>
    <n v="5"/>
    <n v="2"/>
    <n v="0"/>
    <x v="2"/>
  </r>
  <r>
    <n v="35"/>
    <x v="1"/>
    <s v="Travel_Rarely"/>
    <n v="1137"/>
    <x v="1"/>
    <n v="21"/>
    <x v="1"/>
    <x v="0"/>
    <n v="1"/>
    <n v="942"/>
    <n v="4"/>
    <x v="0"/>
    <n v="51"/>
    <n v="3"/>
    <n v="2"/>
    <x v="4"/>
    <n v="4"/>
    <x v="1"/>
    <n v="4014"/>
    <n v="19170"/>
    <n v="1"/>
    <s v="Y"/>
    <s v="Yes"/>
    <n v="25"/>
    <n v="4"/>
    <n v="4"/>
    <n v="80"/>
    <n v="1"/>
    <n v="10"/>
    <n v="2"/>
    <n v="1"/>
    <n v="10"/>
    <n v="6"/>
    <n v="0"/>
    <n v="7"/>
    <n v="0"/>
    <x v="0"/>
  </r>
  <r>
    <n v="49"/>
    <x v="1"/>
    <s v="Travel_Rarely"/>
    <n v="527"/>
    <x v="1"/>
    <n v="8"/>
    <x v="0"/>
    <x v="1"/>
    <n v="1"/>
    <n v="944"/>
    <n v="1"/>
    <x v="0"/>
    <n v="51"/>
    <n v="3"/>
    <n v="3"/>
    <x v="2"/>
    <n v="2"/>
    <x v="1"/>
    <n v="7403"/>
    <n v="22477"/>
    <n v="4"/>
    <s v="Y"/>
    <s v="No"/>
    <n v="11"/>
    <n v="3"/>
    <n v="3"/>
    <n v="80"/>
    <n v="1"/>
    <n v="29"/>
    <n v="3"/>
    <n v="2"/>
    <n v="26"/>
    <n v="9"/>
    <n v="1"/>
    <n v="7"/>
    <n v="0"/>
    <x v="1"/>
  </r>
  <r>
    <n v="48"/>
    <x v="1"/>
    <s v="Travel_Rarely"/>
    <n v="1469"/>
    <x v="1"/>
    <n v="20"/>
    <x v="2"/>
    <x v="2"/>
    <n v="1"/>
    <n v="945"/>
    <n v="4"/>
    <x v="1"/>
    <n v="51"/>
    <n v="3"/>
    <n v="1"/>
    <x v="1"/>
    <n v="3"/>
    <x v="1"/>
    <n v="2259"/>
    <n v="5543"/>
    <n v="4"/>
    <s v="Y"/>
    <s v="No"/>
    <n v="17"/>
    <n v="3"/>
    <n v="1"/>
    <n v="80"/>
    <n v="2"/>
    <n v="13"/>
    <n v="2"/>
    <n v="2"/>
    <n v="0"/>
    <n v="0"/>
    <n v="0"/>
    <n v="0"/>
    <n v="0"/>
    <x v="1"/>
  </r>
  <r>
    <n v="31"/>
    <x v="1"/>
    <s v="Non-Travel"/>
    <n v="1188"/>
    <x v="0"/>
    <n v="20"/>
    <x v="0"/>
    <x v="3"/>
    <n v="1"/>
    <n v="947"/>
    <n v="4"/>
    <x v="0"/>
    <n v="45"/>
    <n v="3"/>
    <n v="2"/>
    <x v="0"/>
    <n v="3"/>
    <x v="1"/>
    <n v="6932"/>
    <n v="24406"/>
    <n v="1"/>
    <s v="Y"/>
    <s v="No"/>
    <n v="13"/>
    <n v="3"/>
    <n v="4"/>
    <n v="80"/>
    <n v="1"/>
    <n v="9"/>
    <n v="2"/>
    <n v="2"/>
    <n v="9"/>
    <n v="8"/>
    <n v="0"/>
    <n v="0"/>
    <n v="0"/>
    <x v="2"/>
  </r>
  <r>
    <n v="36"/>
    <x v="1"/>
    <s v="Travel_Rarely"/>
    <n v="188"/>
    <x v="1"/>
    <n v="7"/>
    <x v="2"/>
    <x v="1"/>
    <n v="1"/>
    <n v="949"/>
    <n v="2"/>
    <x v="1"/>
    <n v="65"/>
    <n v="3"/>
    <n v="1"/>
    <x v="1"/>
    <n v="4"/>
    <x v="0"/>
    <n v="4678"/>
    <n v="23293"/>
    <n v="2"/>
    <s v="Y"/>
    <s v="No"/>
    <n v="18"/>
    <n v="3"/>
    <n v="3"/>
    <n v="80"/>
    <n v="0"/>
    <n v="8"/>
    <n v="6"/>
    <n v="3"/>
    <n v="6"/>
    <n v="2"/>
    <n v="0"/>
    <n v="1"/>
    <n v="0"/>
    <x v="0"/>
  </r>
  <r>
    <n v="38"/>
    <x v="1"/>
    <s v="Travel_Rarely"/>
    <n v="1333"/>
    <x v="1"/>
    <n v="1"/>
    <x v="3"/>
    <x v="4"/>
    <n v="1"/>
    <n v="950"/>
    <n v="4"/>
    <x v="0"/>
    <n v="80"/>
    <n v="3"/>
    <n v="3"/>
    <x v="7"/>
    <n v="1"/>
    <x v="1"/>
    <n v="13582"/>
    <n v="16292"/>
    <n v="1"/>
    <s v="Y"/>
    <s v="No"/>
    <n v="13"/>
    <n v="3"/>
    <n v="2"/>
    <n v="80"/>
    <n v="1"/>
    <n v="15"/>
    <n v="3"/>
    <n v="3"/>
    <n v="15"/>
    <n v="12"/>
    <n v="5"/>
    <n v="11"/>
    <n v="0"/>
    <x v="0"/>
  </r>
  <r>
    <n v="32"/>
    <x v="1"/>
    <s v="Non-Travel"/>
    <n v="1184"/>
    <x v="1"/>
    <n v="1"/>
    <x v="3"/>
    <x v="0"/>
    <n v="1"/>
    <n v="951"/>
    <n v="3"/>
    <x v="0"/>
    <n v="70"/>
    <n v="2"/>
    <n v="1"/>
    <x v="2"/>
    <n v="2"/>
    <x v="1"/>
    <n v="2332"/>
    <n v="3974"/>
    <n v="6"/>
    <s v="Y"/>
    <s v="No"/>
    <n v="20"/>
    <n v="4"/>
    <n v="3"/>
    <n v="80"/>
    <n v="0"/>
    <n v="5"/>
    <n v="3"/>
    <n v="3"/>
    <n v="3"/>
    <n v="0"/>
    <n v="0"/>
    <n v="2"/>
    <n v="0"/>
    <x v="2"/>
  </r>
  <r>
    <n v="25"/>
    <x v="0"/>
    <s v="Travel_Rarely"/>
    <n v="867"/>
    <x v="0"/>
    <n v="19"/>
    <x v="0"/>
    <x v="3"/>
    <n v="1"/>
    <n v="952"/>
    <n v="3"/>
    <x v="1"/>
    <n v="36"/>
    <n v="2"/>
    <n v="1"/>
    <x v="6"/>
    <n v="2"/>
    <x v="1"/>
    <n v="2413"/>
    <n v="18798"/>
    <n v="1"/>
    <s v="Y"/>
    <s v="Yes"/>
    <n v="18"/>
    <n v="3"/>
    <n v="3"/>
    <n v="80"/>
    <n v="3"/>
    <n v="1"/>
    <n v="2"/>
    <n v="3"/>
    <n v="1"/>
    <n v="0"/>
    <n v="0"/>
    <n v="0"/>
    <n v="1"/>
    <x v="2"/>
  </r>
  <r>
    <n v="40"/>
    <x v="1"/>
    <s v="Travel_Rarely"/>
    <n v="658"/>
    <x v="0"/>
    <n v="10"/>
    <x v="2"/>
    <x v="3"/>
    <n v="1"/>
    <n v="954"/>
    <n v="1"/>
    <x v="1"/>
    <n v="67"/>
    <n v="2"/>
    <n v="3"/>
    <x v="0"/>
    <n v="2"/>
    <x v="2"/>
    <n v="9705"/>
    <n v="20652"/>
    <n v="2"/>
    <s v="Y"/>
    <s v="No"/>
    <n v="12"/>
    <n v="3"/>
    <n v="2"/>
    <n v="80"/>
    <n v="1"/>
    <n v="11"/>
    <n v="2"/>
    <n v="2"/>
    <n v="1"/>
    <n v="0"/>
    <n v="0"/>
    <n v="0"/>
    <n v="0"/>
    <x v="0"/>
  </r>
  <r>
    <n v="26"/>
    <x v="1"/>
    <s v="Travel_Frequently"/>
    <n v="1283"/>
    <x v="0"/>
    <n v="1"/>
    <x v="3"/>
    <x v="2"/>
    <n v="1"/>
    <n v="956"/>
    <n v="3"/>
    <x v="1"/>
    <n v="52"/>
    <n v="2"/>
    <n v="2"/>
    <x v="0"/>
    <n v="1"/>
    <x v="0"/>
    <n v="4294"/>
    <n v="11148"/>
    <n v="1"/>
    <s v="Y"/>
    <s v="No"/>
    <n v="12"/>
    <n v="3"/>
    <n v="2"/>
    <n v="80"/>
    <n v="0"/>
    <n v="7"/>
    <n v="2"/>
    <n v="3"/>
    <n v="7"/>
    <n v="7"/>
    <n v="0"/>
    <n v="7"/>
    <n v="0"/>
    <x v="2"/>
  </r>
  <r>
    <n v="41"/>
    <x v="1"/>
    <s v="Travel_Rarely"/>
    <n v="263"/>
    <x v="1"/>
    <n v="6"/>
    <x v="3"/>
    <x v="2"/>
    <n v="1"/>
    <n v="957"/>
    <n v="4"/>
    <x v="1"/>
    <n v="59"/>
    <n v="3"/>
    <n v="1"/>
    <x v="2"/>
    <n v="1"/>
    <x v="0"/>
    <n v="4721"/>
    <n v="3119"/>
    <n v="2"/>
    <s v="Y"/>
    <s v="Yes"/>
    <n v="13"/>
    <n v="3"/>
    <n v="3"/>
    <n v="80"/>
    <n v="0"/>
    <n v="20"/>
    <n v="3"/>
    <n v="3"/>
    <n v="18"/>
    <n v="13"/>
    <n v="2"/>
    <n v="17"/>
    <n v="0"/>
    <x v="0"/>
  </r>
  <r>
    <n v="36"/>
    <x v="1"/>
    <s v="Travel_Rarely"/>
    <n v="938"/>
    <x v="1"/>
    <n v="2"/>
    <x v="2"/>
    <x v="2"/>
    <n v="1"/>
    <n v="958"/>
    <n v="3"/>
    <x v="1"/>
    <n v="79"/>
    <n v="3"/>
    <n v="1"/>
    <x v="2"/>
    <n v="3"/>
    <x v="0"/>
    <n v="2519"/>
    <n v="12287"/>
    <n v="4"/>
    <s v="Y"/>
    <s v="No"/>
    <n v="21"/>
    <n v="4"/>
    <n v="3"/>
    <n v="80"/>
    <n v="0"/>
    <n v="16"/>
    <n v="6"/>
    <n v="3"/>
    <n v="11"/>
    <n v="8"/>
    <n v="3"/>
    <n v="9"/>
    <n v="0"/>
    <x v="0"/>
  </r>
  <r>
    <n v="19"/>
    <x v="0"/>
    <s v="Travel_Rarely"/>
    <n v="419"/>
    <x v="0"/>
    <n v="21"/>
    <x v="3"/>
    <x v="1"/>
    <n v="1"/>
    <n v="959"/>
    <n v="4"/>
    <x v="1"/>
    <n v="37"/>
    <n v="2"/>
    <n v="1"/>
    <x v="6"/>
    <n v="2"/>
    <x v="0"/>
    <n v="2121"/>
    <n v="9947"/>
    <n v="1"/>
    <s v="Y"/>
    <s v="Yes"/>
    <n v="13"/>
    <n v="3"/>
    <n v="2"/>
    <n v="80"/>
    <n v="0"/>
    <n v="1"/>
    <n v="3"/>
    <n v="4"/>
    <n v="1"/>
    <n v="0"/>
    <n v="0"/>
    <n v="0"/>
    <n v="1"/>
    <x v="4"/>
  </r>
  <r>
    <n v="20"/>
    <x v="0"/>
    <s v="Travel_Rarely"/>
    <n v="129"/>
    <x v="1"/>
    <n v="4"/>
    <x v="3"/>
    <x v="4"/>
    <n v="1"/>
    <n v="960"/>
    <n v="1"/>
    <x v="1"/>
    <n v="84"/>
    <n v="3"/>
    <n v="1"/>
    <x v="2"/>
    <n v="1"/>
    <x v="0"/>
    <n v="2973"/>
    <n v="13008"/>
    <n v="1"/>
    <s v="Y"/>
    <s v="No"/>
    <n v="19"/>
    <n v="3"/>
    <n v="2"/>
    <n v="80"/>
    <n v="0"/>
    <n v="1"/>
    <n v="2"/>
    <n v="3"/>
    <n v="1"/>
    <n v="0"/>
    <n v="0"/>
    <n v="0"/>
    <n v="1"/>
    <x v="4"/>
  </r>
  <r>
    <n v="31"/>
    <x v="1"/>
    <s v="Travel_Rarely"/>
    <n v="616"/>
    <x v="1"/>
    <n v="12"/>
    <x v="3"/>
    <x v="2"/>
    <n v="1"/>
    <n v="961"/>
    <n v="4"/>
    <x v="0"/>
    <n v="41"/>
    <n v="3"/>
    <n v="2"/>
    <x v="4"/>
    <n v="4"/>
    <x v="1"/>
    <n v="5855"/>
    <n v="17369"/>
    <n v="0"/>
    <s v="Y"/>
    <s v="Yes"/>
    <n v="11"/>
    <n v="3"/>
    <n v="3"/>
    <n v="80"/>
    <n v="2"/>
    <n v="10"/>
    <n v="2"/>
    <n v="1"/>
    <n v="9"/>
    <n v="7"/>
    <n v="8"/>
    <n v="5"/>
    <n v="0"/>
    <x v="2"/>
  </r>
  <r>
    <n v="40"/>
    <x v="1"/>
    <s v="Travel_Frequently"/>
    <n v="1469"/>
    <x v="1"/>
    <n v="9"/>
    <x v="2"/>
    <x v="2"/>
    <n v="1"/>
    <n v="964"/>
    <n v="4"/>
    <x v="1"/>
    <n v="35"/>
    <n v="3"/>
    <n v="1"/>
    <x v="1"/>
    <n v="2"/>
    <x v="2"/>
    <n v="3617"/>
    <n v="25063"/>
    <n v="8"/>
    <s v="Y"/>
    <s v="Yes"/>
    <n v="14"/>
    <n v="3"/>
    <n v="4"/>
    <n v="80"/>
    <n v="1"/>
    <n v="3"/>
    <n v="2"/>
    <n v="3"/>
    <n v="1"/>
    <n v="1"/>
    <n v="0"/>
    <n v="0"/>
    <n v="0"/>
    <x v="0"/>
  </r>
  <r>
    <n v="32"/>
    <x v="1"/>
    <s v="Travel_Rarely"/>
    <n v="498"/>
    <x v="1"/>
    <n v="3"/>
    <x v="2"/>
    <x v="2"/>
    <n v="1"/>
    <n v="966"/>
    <n v="3"/>
    <x v="0"/>
    <n v="93"/>
    <n v="3"/>
    <n v="2"/>
    <x v="3"/>
    <n v="1"/>
    <x v="1"/>
    <n v="6725"/>
    <n v="13554"/>
    <n v="1"/>
    <s v="Y"/>
    <s v="No"/>
    <n v="12"/>
    <n v="3"/>
    <n v="3"/>
    <n v="80"/>
    <n v="1"/>
    <n v="8"/>
    <n v="2"/>
    <n v="4"/>
    <n v="8"/>
    <n v="7"/>
    <n v="6"/>
    <n v="3"/>
    <n v="0"/>
    <x v="2"/>
  </r>
  <r>
    <n v="36"/>
    <x v="0"/>
    <s v="Travel_Rarely"/>
    <n v="530"/>
    <x v="0"/>
    <n v="3"/>
    <x v="1"/>
    <x v="0"/>
    <n v="1"/>
    <n v="967"/>
    <n v="3"/>
    <x v="1"/>
    <n v="51"/>
    <n v="2"/>
    <n v="3"/>
    <x v="0"/>
    <n v="4"/>
    <x v="1"/>
    <n v="10325"/>
    <n v="5518"/>
    <n v="1"/>
    <s v="Y"/>
    <s v="Yes"/>
    <n v="11"/>
    <n v="3"/>
    <n v="1"/>
    <n v="80"/>
    <n v="1"/>
    <n v="16"/>
    <n v="6"/>
    <n v="3"/>
    <n v="16"/>
    <n v="7"/>
    <n v="3"/>
    <n v="7"/>
    <n v="1"/>
    <x v="0"/>
  </r>
  <r>
    <n v="33"/>
    <x v="1"/>
    <s v="Travel_Rarely"/>
    <n v="1069"/>
    <x v="1"/>
    <n v="1"/>
    <x v="3"/>
    <x v="0"/>
    <n v="1"/>
    <n v="969"/>
    <n v="2"/>
    <x v="0"/>
    <n v="42"/>
    <n v="2"/>
    <n v="2"/>
    <x v="4"/>
    <n v="4"/>
    <x v="0"/>
    <n v="6949"/>
    <n v="12291"/>
    <n v="0"/>
    <s v="Y"/>
    <s v="No"/>
    <n v="14"/>
    <n v="3"/>
    <n v="1"/>
    <n v="80"/>
    <n v="0"/>
    <n v="6"/>
    <n v="3"/>
    <n v="3"/>
    <n v="5"/>
    <n v="0"/>
    <n v="1"/>
    <n v="4"/>
    <n v="0"/>
    <x v="2"/>
  </r>
  <r>
    <n v="37"/>
    <x v="0"/>
    <s v="Travel_Rarely"/>
    <n v="625"/>
    <x v="0"/>
    <n v="1"/>
    <x v="2"/>
    <x v="0"/>
    <n v="1"/>
    <n v="970"/>
    <n v="1"/>
    <x v="1"/>
    <n v="46"/>
    <n v="2"/>
    <n v="3"/>
    <x v="0"/>
    <n v="3"/>
    <x v="1"/>
    <n v="10609"/>
    <n v="14922"/>
    <n v="5"/>
    <s v="Y"/>
    <s v="No"/>
    <n v="11"/>
    <n v="3"/>
    <n v="3"/>
    <n v="80"/>
    <n v="0"/>
    <n v="17"/>
    <n v="2"/>
    <n v="1"/>
    <n v="14"/>
    <n v="1"/>
    <n v="11"/>
    <n v="7"/>
    <n v="1"/>
    <x v="0"/>
  </r>
  <r>
    <n v="45"/>
    <x v="1"/>
    <s v="Non-Travel"/>
    <n v="805"/>
    <x v="1"/>
    <n v="4"/>
    <x v="0"/>
    <x v="0"/>
    <n v="1"/>
    <n v="972"/>
    <n v="3"/>
    <x v="1"/>
    <n v="57"/>
    <n v="3"/>
    <n v="2"/>
    <x v="2"/>
    <n v="2"/>
    <x v="1"/>
    <n v="4447"/>
    <n v="23163"/>
    <n v="1"/>
    <s v="Y"/>
    <s v="No"/>
    <n v="12"/>
    <n v="3"/>
    <n v="2"/>
    <n v="80"/>
    <n v="0"/>
    <n v="9"/>
    <n v="5"/>
    <n v="2"/>
    <n v="9"/>
    <n v="7"/>
    <n v="0"/>
    <n v="8"/>
    <n v="0"/>
    <x v="1"/>
  </r>
  <r>
    <n v="29"/>
    <x v="1"/>
    <s v="Travel_Frequently"/>
    <n v="1404"/>
    <x v="0"/>
    <n v="20"/>
    <x v="3"/>
    <x v="4"/>
    <n v="1"/>
    <n v="974"/>
    <n v="3"/>
    <x v="0"/>
    <n v="84"/>
    <n v="3"/>
    <n v="1"/>
    <x v="6"/>
    <n v="4"/>
    <x v="1"/>
    <n v="2157"/>
    <n v="18203"/>
    <n v="1"/>
    <s v="Y"/>
    <s v="No"/>
    <n v="15"/>
    <n v="3"/>
    <n v="2"/>
    <n v="80"/>
    <n v="1"/>
    <n v="3"/>
    <n v="5"/>
    <n v="3"/>
    <n v="3"/>
    <n v="1"/>
    <n v="0"/>
    <n v="2"/>
    <n v="0"/>
    <x v="2"/>
  </r>
  <r>
    <n v="35"/>
    <x v="1"/>
    <s v="Travel_Rarely"/>
    <n v="1219"/>
    <x v="0"/>
    <n v="18"/>
    <x v="3"/>
    <x v="2"/>
    <n v="1"/>
    <n v="975"/>
    <n v="3"/>
    <x v="0"/>
    <n v="86"/>
    <n v="3"/>
    <n v="2"/>
    <x v="0"/>
    <n v="3"/>
    <x v="1"/>
    <n v="4601"/>
    <n v="6179"/>
    <n v="1"/>
    <s v="Y"/>
    <s v="No"/>
    <n v="16"/>
    <n v="3"/>
    <n v="2"/>
    <n v="80"/>
    <n v="0"/>
    <n v="5"/>
    <n v="3"/>
    <n v="3"/>
    <n v="5"/>
    <n v="2"/>
    <n v="1"/>
    <n v="0"/>
    <n v="0"/>
    <x v="0"/>
  </r>
  <r>
    <n v="52"/>
    <x v="1"/>
    <s v="Travel_Rarely"/>
    <n v="1053"/>
    <x v="1"/>
    <n v="1"/>
    <x v="0"/>
    <x v="0"/>
    <n v="1"/>
    <n v="976"/>
    <n v="4"/>
    <x v="1"/>
    <n v="70"/>
    <n v="3"/>
    <n v="4"/>
    <x v="5"/>
    <n v="4"/>
    <x v="1"/>
    <n v="17099"/>
    <n v="13829"/>
    <n v="2"/>
    <s v="Y"/>
    <s v="No"/>
    <n v="15"/>
    <n v="3"/>
    <n v="2"/>
    <n v="80"/>
    <n v="1"/>
    <n v="26"/>
    <n v="2"/>
    <n v="2"/>
    <n v="9"/>
    <n v="8"/>
    <n v="7"/>
    <n v="8"/>
    <n v="0"/>
    <x v="1"/>
  </r>
  <r>
    <n v="58"/>
    <x v="0"/>
    <s v="Travel_Rarely"/>
    <n v="289"/>
    <x v="1"/>
    <n v="2"/>
    <x v="3"/>
    <x v="4"/>
    <n v="1"/>
    <n v="977"/>
    <n v="4"/>
    <x v="1"/>
    <n v="51"/>
    <n v="3"/>
    <n v="1"/>
    <x v="1"/>
    <n v="3"/>
    <x v="0"/>
    <n v="2479"/>
    <n v="26227"/>
    <n v="4"/>
    <s v="Y"/>
    <s v="No"/>
    <n v="24"/>
    <n v="4"/>
    <n v="1"/>
    <n v="80"/>
    <n v="0"/>
    <n v="7"/>
    <n v="4"/>
    <n v="3"/>
    <n v="1"/>
    <n v="0"/>
    <n v="0"/>
    <n v="0"/>
    <n v="1"/>
    <x v="3"/>
  </r>
  <r>
    <n v="53"/>
    <x v="1"/>
    <s v="Travel_Rarely"/>
    <n v="1376"/>
    <x v="0"/>
    <n v="2"/>
    <x v="0"/>
    <x v="2"/>
    <n v="1"/>
    <n v="981"/>
    <n v="3"/>
    <x v="1"/>
    <n v="45"/>
    <n v="3"/>
    <n v="4"/>
    <x v="5"/>
    <n v="3"/>
    <x v="2"/>
    <n v="14852"/>
    <n v="13938"/>
    <n v="6"/>
    <s v="Y"/>
    <s v="No"/>
    <n v="13"/>
    <n v="3"/>
    <n v="3"/>
    <n v="80"/>
    <n v="1"/>
    <n v="22"/>
    <n v="3"/>
    <n v="4"/>
    <n v="17"/>
    <n v="13"/>
    <n v="15"/>
    <n v="2"/>
    <n v="0"/>
    <x v="1"/>
  </r>
  <r>
    <n v="30"/>
    <x v="1"/>
    <s v="Travel_Rarely"/>
    <n v="231"/>
    <x v="0"/>
    <n v="8"/>
    <x v="0"/>
    <x v="1"/>
    <n v="1"/>
    <n v="982"/>
    <n v="3"/>
    <x v="1"/>
    <n v="62"/>
    <n v="3"/>
    <n v="3"/>
    <x v="0"/>
    <n v="3"/>
    <x v="2"/>
    <n v="7264"/>
    <n v="9977"/>
    <n v="5"/>
    <s v="Y"/>
    <s v="No"/>
    <n v="11"/>
    <n v="3"/>
    <n v="1"/>
    <n v="80"/>
    <n v="1"/>
    <n v="10"/>
    <n v="2"/>
    <n v="4"/>
    <n v="8"/>
    <n v="4"/>
    <n v="7"/>
    <n v="7"/>
    <n v="0"/>
    <x v="2"/>
  </r>
  <r>
    <n v="38"/>
    <x v="1"/>
    <s v="Non-Travel"/>
    <n v="152"/>
    <x v="0"/>
    <n v="10"/>
    <x v="3"/>
    <x v="4"/>
    <n v="1"/>
    <n v="983"/>
    <n v="3"/>
    <x v="0"/>
    <n v="85"/>
    <n v="3"/>
    <n v="2"/>
    <x v="0"/>
    <n v="4"/>
    <x v="0"/>
    <n v="5666"/>
    <n v="19899"/>
    <n v="1"/>
    <s v="Y"/>
    <s v="Yes"/>
    <n v="13"/>
    <n v="3"/>
    <n v="2"/>
    <n v="80"/>
    <n v="0"/>
    <n v="6"/>
    <n v="1"/>
    <n v="3"/>
    <n v="5"/>
    <n v="3"/>
    <n v="1"/>
    <n v="3"/>
    <n v="0"/>
    <x v="0"/>
  </r>
  <r>
    <n v="35"/>
    <x v="1"/>
    <s v="Travel_Rarely"/>
    <n v="882"/>
    <x v="0"/>
    <n v="3"/>
    <x v="2"/>
    <x v="0"/>
    <n v="1"/>
    <n v="984"/>
    <n v="4"/>
    <x v="1"/>
    <n v="92"/>
    <n v="3"/>
    <n v="3"/>
    <x v="0"/>
    <n v="4"/>
    <x v="2"/>
    <n v="7823"/>
    <n v="6812"/>
    <n v="6"/>
    <s v="Y"/>
    <s v="No"/>
    <n v="13"/>
    <n v="3"/>
    <n v="2"/>
    <n v="80"/>
    <n v="1"/>
    <n v="12"/>
    <n v="2"/>
    <n v="3"/>
    <n v="10"/>
    <n v="9"/>
    <n v="0"/>
    <n v="8"/>
    <n v="0"/>
    <x v="0"/>
  </r>
  <r>
    <n v="39"/>
    <x v="1"/>
    <s v="Travel_Rarely"/>
    <n v="903"/>
    <x v="0"/>
    <n v="2"/>
    <x v="4"/>
    <x v="0"/>
    <n v="1"/>
    <n v="985"/>
    <n v="1"/>
    <x v="1"/>
    <n v="41"/>
    <n v="4"/>
    <n v="3"/>
    <x v="0"/>
    <n v="3"/>
    <x v="0"/>
    <n v="7880"/>
    <n v="2560"/>
    <n v="0"/>
    <s v="Y"/>
    <s v="No"/>
    <n v="18"/>
    <n v="3"/>
    <n v="4"/>
    <n v="80"/>
    <n v="0"/>
    <n v="9"/>
    <n v="3"/>
    <n v="3"/>
    <n v="8"/>
    <n v="7"/>
    <n v="0"/>
    <n v="7"/>
    <n v="0"/>
    <x v="0"/>
  </r>
  <r>
    <n v="40"/>
    <x v="0"/>
    <s v="Non-Travel"/>
    <n v="1479"/>
    <x v="0"/>
    <n v="24"/>
    <x v="3"/>
    <x v="0"/>
    <n v="1"/>
    <n v="986"/>
    <n v="2"/>
    <x v="0"/>
    <n v="100"/>
    <n v="4"/>
    <n v="4"/>
    <x v="0"/>
    <n v="2"/>
    <x v="0"/>
    <n v="13194"/>
    <n v="17071"/>
    <n v="4"/>
    <s v="Y"/>
    <s v="Yes"/>
    <n v="16"/>
    <n v="3"/>
    <n v="4"/>
    <n v="80"/>
    <n v="0"/>
    <n v="22"/>
    <n v="2"/>
    <n v="2"/>
    <n v="1"/>
    <n v="0"/>
    <n v="0"/>
    <n v="0"/>
    <n v="1"/>
    <x v="0"/>
  </r>
  <r>
    <n v="47"/>
    <x v="1"/>
    <s v="Travel_Frequently"/>
    <n v="1379"/>
    <x v="1"/>
    <n v="16"/>
    <x v="2"/>
    <x v="2"/>
    <n v="1"/>
    <n v="987"/>
    <n v="3"/>
    <x v="1"/>
    <n v="64"/>
    <n v="4"/>
    <n v="2"/>
    <x v="3"/>
    <n v="3"/>
    <x v="2"/>
    <n v="5067"/>
    <n v="6759"/>
    <n v="1"/>
    <s v="Y"/>
    <s v="Yes"/>
    <n v="19"/>
    <n v="3"/>
    <n v="3"/>
    <n v="80"/>
    <n v="0"/>
    <n v="20"/>
    <n v="3"/>
    <n v="4"/>
    <n v="19"/>
    <n v="10"/>
    <n v="2"/>
    <n v="7"/>
    <n v="0"/>
    <x v="1"/>
  </r>
  <r>
    <n v="36"/>
    <x v="1"/>
    <s v="Non-Travel"/>
    <n v="1229"/>
    <x v="0"/>
    <n v="8"/>
    <x v="2"/>
    <x v="4"/>
    <n v="1"/>
    <n v="990"/>
    <n v="1"/>
    <x v="1"/>
    <n v="84"/>
    <n v="3"/>
    <n v="2"/>
    <x v="0"/>
    <n v="4"/>
    <x v="2"/>
    <n v="5079"/>
    <n v="25952"/>
    <n v="4"/>
    <s v="Y"/>
    <s v="No"/>
    <n v="13"/>
    <n v="3"/>
    <n v="4"/>
    <n v="80"/>
    <n v="2"/>
    <n v="12"/>
    <n v="3"/>
    <n v="3"/>
    <n v="7"/>
    <n v="7"/>
    <n v="0"/>
    <n v="7"/>
    <n v="0"/>
    <x v="0"/>
  </r>
  <r>
    <n v="31"/>
    <x v="0"/>
    <s v="Non-Travel"/>
    <n v="335"/>
    <x v="1"/>
    <n v="9"/>
    <x v="0"/>
    <x v="2"/>
    <n v="1"/>
    <n v="991"/>
    <n v="3"/>
    <x v="1"/>
    <n v="46"/>
    <n v="2"/>
    <n v="1"/>
    <x v="1"/>
    <n v="1"/>
    <x v="0"/>
    <n v="2321"/>
    <n v="10322"/>
    <n v="0"/>
    <s v="Y"/>
    <s v="Yes"/>
    <n v="22"/>
    <n v="4"/>
    <n v="1"/>
    <n v="80"/>
    <n v="0"/>
    <n v="4"/>
    <n v="0"/>
    <n v="3"/>
    <n v="3"/>
    <n v="2"/>
    <n v="1"/>
    <n v="2"/>
    <n v="1"/>
    <x v="2"/>
  </r>
  <r>
    <n v="33"/>
    <x v="1"/>
    <s v="Non-Travel"/>
    <n v="722"/>
    <x v="0"/>
    <n v="17"/>
    <x v="3"/>
    <x v="0"/>
    <n v="1"/>
    <n v="992"/>
    <n v="4"/>
    <x v="1"/>
    <n v="38"/>
    <n v="3"/>
    <n v="4"/>
    <x v="5"/>
    <n v="3"/>
    <x v="0"/>
    <n v="17444"/>
    <n v="20489"/>
    <n v="1"/>
    <s v="Y"/>
    <s v="No"/>
    <n v="11"/>
    <n v="3"/>
    <n v="4"/>
    <n v="80"/>
    <n v="0"/>
    <n v="10"/>
    <n v="2"/>
    <n v="3"/>
    <n v="10"/>
    <n v="8"/>
    <n v="6"/>
    <n v="0"/>
    <n v="0"/>
    <x v="2"/>
  </r>
  <r>
    <n v="29"/>
    <x v="0"/>
    <s v="Travel_Rarely"/>
    <n v="906"/>
    <x v="1"/>
    <n v="10"/>
    <x v="3"/>
    <x v="0"/>
    <n v="1"/>
    <n v="994"/>
    <n v="4"/>
    <x v="0"/>
    <n v="92"/>
    <n v="2"/>
    <n v="1"/>
    <x v="1"/>
    <n v="1"/>
    <x v="0"/>
    <n v="2404"/>
    <n v="11479"/>
    <n v="6"/>
    <s v="Y"/>
    <s v="Yes"/>
    <n v="20"/>
    <n v="4"/>
    <n v="3"/>
    <n v="80"/>
    <n v="0"/>
    <n v="3"/>
    <n v="5"/>
    <n v="3"/>
    <n v="0"/>
    <n v="0"/>
    <n v="0"/>
    <n v="0"/>
    <n v="1"/>
    <x v="2"/>
  </r>
  <r>
    <n v="33"/>
    <x v="1"/>
    <s v="Travel_Rarely"/>
    <n v="461"/>
    <x v="1"/>
    <n v="13"/>
    <x v="1"/>
    <x v="0"/>
    <n v="1"/>
    <n v="995"/>
    <n v="2"/>
    <x v="0"/>
    <n v="53"/>
    <n v="3"/>
    <n v="1"/>
    <x v="1"/>
    <n v="4"/>
    <x v="0"/>
    <n v="3452"/>
    <n v="17241"/>
    <n v="3"/>
    <s v="Y"/>
    <s v="No"/>
    <n v="18"/>
    <n v="3"/>
    <n v="1"/>
    <n v="80"/>
    <n v="0"/>
    <n v="5"/>
    <n v="4"/>
    <n v="3"/>
    <n v="3"/>
    <n v="2"/>
    <n v="0"/>
    <n v="2"/>
    <n v="0"/>
    <x v="2"/>
  </r>
  <r>
    <n v="45"/>
    <x v="1"/>
    <s v="Travel_Rarely"/>
    <n v="974"/>
    <x v="1"/>
    <n v="1"/>
    <x v="2"/>
    <x v="2"/>
    <n v="1"/>
    <n v="996"/>
    <n v="4"/>
    <x v="0"/>
    <n v="91"/>
    <n v="3"/>
    <n v="1"/>
    <x v="2"/>
    <n v="4"/>
    <x v="2"/>
    <n v="2270"/>
    <n v="11005"/>
    <n v="3"/>
    <s v="Y"/>
    <s v="No"/>
    <n v="14"/>
    <n v="3"/>
    <n v="4"/>
    <n v="80"/>
    <n v="2"/>
    <n v="8"/>
    <n v="2"/>
    <n v="3"/>
    <n v="5"/>
    <n v="3"/>
    <n v="0"/>
    <n v="2"/>
    <n v="0"/>
    <x v="1"/>
  </r>
  <r>
    <n v="50"/>
    <x v="1"/>
    <s v="Travel_Rarely"/>
    <n v="1126"/>
    <x v="1"/>
    <n v="1"/>
    <x v="0"/>
    <x v="2"/>
    <n v="1"/>
    <n v="997"/>
    <n v="4"/>
    <x v="1"/>
    <n v="66"/>
    <n v="3"/>
    <n v="4"/>
    <x v="7"/>
    <n v="4"/>
    <x v="2"/>
    <n v="17399"/>
    <n v="6615"/>
    <n v="9"/>
    <s v="Y"/>
    <s v="No"/>
    <n v="22"/>
    <n v="4"/>
    <n v="3"/>
    <n v="80"/>
    <n v="1"/>
    <n v="32"/>
    <n v="1"/>
    <n v="2"/>
    <n v="5"/>
    <n v="4"/>
    <n v="1"/>
    <n v="3"/>
    <n v="0"/>
    <x v="1"/>
  </r>
  <r>
    <n v="33"/>
    <x v="1"/>
    <s v="Travel_Frequently"/>
    <n v="827"/>
    <x v="1"/>
    <n v="1"/>
    <x v="2"/>
    <x v="1"/>
    <n v="1"/>
    <n v="998"/>
    <n v="3"/>
    <x v="0"/>
    <n v="84"/>
    <n v="4"/>
    <n v="2"/>
    <x v="4"/>
    <n v="2"/>
    <x v="1"/>
    <n v="5488"/>
    <n v="20161"/>
    <n v="1"/>
    <s v="Y"/>
    <s v="Yes"/>
    <n v="13"/>
    <n v="3"/>
    <n v="1"/>
    <n v="80"/>
    <n v="1"/>
    <n v="6"/>
    <n v="2"/>
    <n v="3"/>
    <n v="6"/>
    <n v="5"/>
    <n v="1"/>
    <n v="2"/>
    <n v="0"/>
    <x v="2"/>
  </r>
  <r>
    <n v="41"/>
    <x v="1"/>
    <s v="Travel_Frequently"/>
    <n v="840"/>
    <x v="1"/>
    <n v="9"/>
    <x v="3"/>
    <x v="2"/>
    <n v="1"/>
    <n v="999"/>
    <n v="1"/>
    <x v="1"/>
    <n v="64"/>
    <n v="3"/>
    <n v="5"/>
    <x v="7"/>
    <n v="3"/>
    <x v="2"/>
    <n v="19419"/>
    <n v="3735"/>
    <n v="2"/>
    <s v="Y"/>
    <s v="No"/>
    <n v="17"/>
    <n v="3"/>
    <n v="2"/>
    <n v="80"/>
    <n v="1"/>
    <n v="21"/>
    <n v="2"/>
    <n v="4"/>
    <n v="18"/>
    <n v="16"/>
    <n v="0"/>
    <n v="11"/>
    <n v="0"/>
    <x v="0"/>
  </r>
  <r>
    <n v="27"/>
    <x v="1"/>
    <s v="Travel_Rarely"/>
    <n v="1134"/>
    <x v="1"/>
    <n v="16"/>
    <x v="2"/>
    <x v="4"/>
    <n v="1"/>
    <n v="1001"/>
    <n v="3"/>
    <x v="0"/>
    <n v="37"/>
    <n v="3"/>
    <n v="1"/>
    <x v="2"/>
    <n v="2"/>
    <x v="1"/>
    <n v="2811"/>
    <n v="12086"/>
    <n v="9"/>
    <s v="Y"/>
    <s v="No"/>
    <n v="14"/>
    <n v="3"/>
    <n v="2"/>
    <n v="80"/>
    <n v="1"/>
    <n v="4"/>
    <n v="2"/>
    <n v="3"/>
    <n v="2"/>
    <n v="2"/>
    <n v="2"/>
    <n v="2"/>
    <n v="0"/>
    <x v="2"/>
  </r>
  <r>
    <n v="45"/>
    <x v="1"/>
    <s v="Non-Travel"/>
    <n v="248"/>
    <x v="1"/>
    <n v="23"/>
    <x v="0"/>
    <x v="0"/>
    <n v="1"/>
    <n v="1002"/>
    <n v="4"/>
    <x v="1"/>
    <n v="42"/>
    <n v="3"/>
    <n v="2"/>
    <x v="2"/>
    <n v="1"/>
    <x v="1"/>
    <n v="3633"/>
    <n v="14039"/>
    <n v="1"/>
    <s v="Y"/>
    <s v="Yes"/>
    <n v="15"/>
    <n v="3"/>
    <n v="3"/>
    <n v="80"/>
    <n v="1"/>
    <n v="9"/>
    <n v="2"/>
    <n v="3"/>
    <n v="9"/>
    <n v="8"/>
    <n v="0"/>
    <n v="8"/>
    <n v="0"/>
    <x v="1"/>
  </r>
  <r>
    <n v="47"/>
    <x v="1"/>
    <s v="Travel_Rarely"/>
    <n v="955"/>
    <x v="0"/>
    <n v="4"/>
    <x v="0"/>
    <x v="0"/>
    <n v="1"/>
    <n v="1003"/>
    <n v="4"/>
    <x v="0"/>
    <n v="83"/>
    <n v="3"/>
    <n v="2"/>
    <x v="0"/>
    <n v="4"/>
    <x v="0"/>
    <n v="4163"/>
    <n v="8571"/>
    <n v="1"/>
    <s v="Y"/>
    <s v="Yes"/>
    <n v="17"/>
    <n v="3"/>
    <n v="3"/>
    <n v="80"/>
    <n v="0"/>
    <n v="9"/>
    <n v="0"/>
    <n v="3"/>
    <n v="9"/>
    <n v="0"/>
    <n v="0"/>
    <n v="7"/>
    <n v="0"/>
    <x v="1"/>
  </r>
  <r>
    <n v="30"/>
    <x v="0"/>
    <s v="Travel_Rarely"/>
    <n v="138"/>
    <x v="1"/>
    <n v="22"/>
    <x v="3"/>
    <x v="0"/>
    <n v="1"/>
    <n v="1004"/>
    <n v="1"/>
    <x v="0"/>
    <n v="48"/>
    <n v="3"/>
    <n v="1"/>
    <x v="1"/>
    <n v="3"/>
    <x v="1"/>
    <n v="2132"/>
    <n v="11539"/>
    <n v="4"/>
    <s v="Y"/>
    <s v="Yes"/>
    <n v="11"/>
    <n v="3"/>
    <n v="2"/>
    <n v="80"/>
    <n v="0"/>
    <n v="7"/>
    <n v="2"/>
    <n v="3"/>
    <n v="5"/>
    <n v="2"/>
    <n v="0"/>
    <n v="1"/>
    <n v="1"/>
    <x v="2"/>
  </r>
  <r>
    <n v="50"/>
    <x v="1"/>
    <s v="Travel_Rarely"/>
    <n v="939"/>
    <x v="1"/>
    <n v="24"/>
    <x v="3"/>
    <x v="0"/>
    <n v="1"/>
    <n v="1005"/>
    <n v="4"/>
    <x v="1"/>
    <n v="95"/>
    <n v="3"/>
    <n v="4"/>
    <x v="3"/>
    <n v="3"/>
    <x v="1"/>
    <n v="13973"/>
    <n v="4161"/>
    <n v="3"/>
    <s v="Y"/>
    <s v="Yes"/>
    <n v="18"/>
    <n v="3"/>
    <n v="4"/>
    <n v="80"/>
    <n v="1"/>
    <n v="22"/>
    <n v="2"/>
    <n v="3"/>
    <n v="12"/>
    <n v="11"/>
    <n v="1"/>
    <n v="5"/>
    <n v="0"/>
    <x v="1"/>
  </r>
  <r>
    <n v="38"/>
    <x v="1"/>
    <s v="Travel_Frequently"/>
    <n v="1391"/>
    <x v="1"/>
    <n v="10"/>
    <x v="1"/>
    <x v="2"/>
    <n v="1"/>
    <n v="1006"/>
    <n v="3"/>
    <x v="1"/>
    <n v="66"/>
    <n v="3"/>
    <n v="1"/>
    <x v="1"/>
    <n v="3"/>
    <x v="1"/>
    <n v="2684"/>
    <n v="12127"/>
    <n v="0"/>
    <s v="Y"/>
    <s v="No"/>
    <n v="17"/>
    <n v="3"/>
    <n v="2"/>
    <n v="80"/>
    <n v="1"/>
    <n v="3"/>
    <n v="0"/>
    <n v="2"/>
    <n v="2"/>
    <n v="1"/>
    <n v="0"/>
    <n v="2"/>
    <n v="0"/>
    <x v="0"/>
  </r>
  <r>
    <n v="46"/>
    <x v="1"/>
    <s v="Travel_Rarely"/>
    <n v="566"/>
    <x v="1"/>
    <n v="7"/>
    <x v="0"/>
    <x v="2"/>
    <n v="1"/>
    <n v="1007"/>
    <n v="4"/>
    <x v="1"/>
    <n v="75"/>
    <n v="3"/>
    <n v="3"/>
    <x v="3"/>
    <n v="3"/>
    <x v="2"/>
    <n v="10845"/>
    <n v="24208"/>
    <n v="6"/>
    <s v="Y"/>
    <s v="No"/>
    <n v="13"/>
    <n v="3"/>
    <n v="2"/>
    <n v="80"/>
    <n v="1"/>
    <n v="13"/>
    <n v="3"/>
    <n v="3"/>
    <n v="8"/>
    <n v="7"/>
    <n v="0"/>
    <n v="7"/>
    <n v="0"/>
    <x v="1"/>
  </r>
  <r>
    <n v="24"/>
    <x v="1"/>
    <s v="Travel_Rarely"/>
    <n v="1206"/>
    <x v="1"/>
    <n v="17"/>
    <x v="1"/>
    <x v="2"/>
    <n v="1"/>
    <n v="1009"/>
    <n v="4"/>
    <x v="0"/>
    <n v="41"/>
    <n v="2"/>
    <n v="2"/>
    <x v="3"/>
    <n v="3"/>
    <x v="2"/>
    <n v="4377"/>
    <n v="24117"/>
    <n v="1"/>
    <s v="Y"/>
    <s v="No"/>
    <n v="15"/>
    <n v="3"/>
    <n v="2"/>
    <n v="80"/>
    <n v="2"/>
    <n v="5"/>
    <n v="6"/>
    <n v="3"/>
    <n v="4"/>
    <n v="2"/>
    <n v="3"/>
    <n v="2"/>
    <n v="0"/>
    <x v="4"/>
  </r>
  <r>
    <n v="35"/>
    <x v="0"/>
    <s v="Travel_Rarely"/>
    <n v="622"/>
    <x v="1"/>
    <n v="14"/>
    <x v="2"/>
    <x v="1"/>
    <n v="1"/>
    <n v="1010"/>
    <n v="3"/>
    <x v="1"/>
    <n v="39"/>
    <n v="2"/>
    <n v="1"/>
    <x v="2"/>
    <n v="2"/>
    <x v="2"/>
    <n v="3743"/>
    <n v="10074"/>
    <n v="1"/>
    <s v="Y"/>
    <s v="Yes"/>
    <n v="24"/>
    <n v="4"/>
    <n v="4"/>
    <n v="80"/>
    <n v="1"/>
    <n v="5"/>
    <n v="2"/>
    <n v="1"/>
    <n v="4"/>
    <n v="2"/>
    <n v="0"/>
    <n v="2"/>
    <n v="1"/>
    <x v="0"/>
  </r>
  <r>
    <n v="31"/>
    <x v="1"/>
    <s v="Travel_Frequently"/>
    <n v="853"/>
    <x v="1"/>
    <n v="1"/>
    <x v="1"/>
    <x v="0"/>
    <n v="1"/>
    <n v="1011"/>
    <n v="3"/>
    <x v="0"/>
    <n v="96"/>
    <n v="3"/>
    <n v="2"/>
    <x v="3"/>
    <n v="1"/>
    <x v="1"/>
    <n v="4148"/>
    <n v="11275"/>
    <n v="1"/>
    <s v="Y"/>
    <s v="No"/>
    <n v="12"/>
    <n v="3"/>
    <n v="3"/>
    <n v="80"/>
    <n v="1"/>
    <n v="4"/>
    <n v="1"/>
    <n v="3"/>
    <n v="4"/>
    <n v="3"/>
    <n v="0"/>
    <n v="3"/>
    <n v="0"/>
    <x v="2"/>
  </r>
  <r>
    <n v="18"/>
    <x v="1"/>
    <s v="Non-Travel"/>
    <n v="287"/>
    <x v="1"/>
    <n v="5"/>
    <x v="0"/>
    <x v="0"/>
    <n v="1"/>
    <n v="1012"/>
    <n v="2"/>
    <x v="1"/>
    <n v="73"/>
    <n v="3"/>
    <n v="1"/>
    <x v="1"/>
    <n v="4"/>
    <x v="0"/>
    <n v="1051"/>
    <n v="13493"/>
    <n v="1"/>
    <s v="Y"/>
    <s v="No"/>
    <n v="15"/>
    <n v="3"/>
    <n v="4"/>
    <n v="80"/>
    <n v="0"/>
    <n v="0"/>
    <n v="2"/>
    <n v="3"/>
    <n v="0"/>
    <n v="0"/>
    <n v="0"/>
    <n v="0"/>
    <n v="0"/>
    <x v="4"/>
  </r>
  <r>
    <n v="54"/>
    <x v="1"/>
    <s v="Travel_Rarely"/>
    <n v="1441"/>
    <x v="1"/>
    <n v="17"/>
    <x v="3"/>
    <x v="4"/>
    <n v="1"/>
    <n v="1013"/>
    <n v="3"/>
    <x v="0"/>
    <n v="56"/>
    <n v="3"/>
    <n v="3"/>
    <x v="3"/>
    <n v="3"/>
    <x v="1"/>
    <n v="10739"/>
    <n v="13943"/>
    <n v="8"/>
    <s v="Y"/>
    <s v="No"/>
    <n v="11"/>
    <n v="3"/>
    <n v="3"/>
    <n v="80"/>
    <n v="1"/>
    <n v="22"/>
    <n v="2"/>
    <n v="3"/>
    <n v="10"/>
    <n v="7"/>
    <n v="0"/>
    <n v="8"/>
    <n v="0"/>
    <x v="1"/>
  </r>
  <r>
    <n v="35"/>
    <x v="1"/>
    <s v="Travel_Rarely"/>
    <n v="583"/>
    <x v="1"/>
    <n v="25"/>
    <x v="2"/>
    <x v="2"/>
    <n v="1"/>
    <n v="1014"/>
    <n v="3"/>
    <x v="0"/>
    <n v="57"/>
    <n v="3"/>
    <n v="3"/>
    <x v="4"/>
    <n v="3"/>
    <x v="2"/>
    <n v="10388"/>
    <n v="6975"/>
    <n v="1"/>
    <s v="Y"/>
    <s v="Yes"/>
    <n v="11"/>
    <n v="3"/>
    <n v="3"/>
    <n v="80"/>
    <n v="1"/>
    <n v="16"/>
    <n v="3"/>
    <n v="2"/>
    <n v="16"/>
    <n v="10"/>
    <n v="10"/>
    <n v="1"/>
    <n v="0"/>
    <x v="0"/>
  </r>
  <r>
    <n v="30"/>
    <x v="1"/>
    <s v="Travel_Rarely"/>
    <n v="153"/>
    <x v="1"/>
    <n v="8"/>
    <x v="0"/>
    <x v="0"/>
    <n v="1"/>
    <n v="1015"/>
    <n v="2"/>
    <x v="0"/>
    <n v="73"/>
    <n v="4"/>
    <n v="3"/>
    <x v="7"/>
    <n v="1"/>
    <x v="1"/>
    <n v="11416"/>
    <n v="17802"/>
    <n v="0"/>
    <s v="Y"/>
    <s v="Yes"/>
    <n v="12"/>
    <n v="3"/>
    <n v="3"/>
    <n v="80"/>
    <n v="3"/>
    <n v="9"/>
    <n v="4"/>
    <n v="2"/>
    <n v="8"/>
    <n v="7"/>
    <n v="1"/>
    <n v="7"/>
    <n v="0"/>
    <x v="2"/>
  </r>
  <r>
    <n v="20"/>
    <x v="0"/>
    <s v="Travel_Rarely"/>
    <n v="1097"/>
    <x v="1"/>
    <n v="11"/>
    <x v="3"/>
    <x v="2"/>
    <n v="1"/>
    <n v="1016"/>
    <n v="4"/>
    <x v="0"/>
    <n v="98"/>
    <n v="2"/>
    <n v="1"/>
    <x v="1"/>
    <n v="1"/>
    <x v="0"/>
    <n v="2600"/>
    <n v="18275"/>
    <n v="1"/>
    <s v="Y"/>
    <s v="Yes"/>
    <n v="15"/>
    <n v="3"/>
    <n v="1"/>
    <n v="80"/>
    <n v="0"/>
    <n v="1"/>
    <n v="2"/>
    <n v="3"/>
    <n v="1"/>
    <n v="0"/>
    <n v="0"/>
    <n v="0"/>
    <n v="1"/>
    <x v="4"/>
  </r>
  <r>
    <n v="30"/>
    <x v="0"/>
    <s v="Travel_Frequently"/>
    <n v="109"/>
    <x v="1"/>
    <n v="5"/>
    <x v="3"/>
    <x v="2"/>
    <n v="1"/>
    <n v="1017"/>
    <n v="2"/>
    <x v="0"/>
    <n v="60"/>
    <n v="3"/>
    <n v="1"/>
    <x v="2"/>
    <n v="2"/>
    <x v="0"/>
    <n v="2422"/>
    <n v="25725"/>
    <n v="0"/>
    <s v="Y"/>
    <s v="No"/>
    <n v="17"/>
    <n v="3"/>
    <n v="1"/>
    <n v="80"/>
    <n v="0"/>
    <n v="4"/>
    <n v="3"/>
    <n v="3"/>
    <n v="3"/>
    <n v="2"/>
    <n v="1"/>
    <n v="2"/>
    <n v="1"/>
    <x v="2"/>
  </r>
  <r>
    <n v="26"/>
    <x v="1"/>
    <s v="Travel_Rarely"/>
    <n v="1066"/>
    <x v="1"/>
    <n v="2"/>
    <x v="0"/>
    <x v="2"/>
    <n v="1"/>
    <n v="1018"/>
    <n v="4"/>
    <x v="1"/>
    <n v="32"/>
    <n v="4"/>
    <n v="2"/>
    <x v="3"/>
    <n v="4"/>
    <x v="1"/>
    <n v="5472"/>
    <n v="3334"/>
    <n v="1"/>
    <s v="Y"/>
    <s v="No"/>
    <n v="12"/>
    <n v="3"/>
    <n v="2"/>
    <n v="80"/>
    <n v="0"/>
    <n v="8"/>
    <n v="2"/>
    <n v="3"/>
    <n v="8"/>
    <n v="7"/>
    <n v="1"/>
    <n v="3"/>
    <n v="0"/>
    <x v="2"/>
  </r>
  <r>
    <n v="22"/>
    <x v="1"/>
    <s v="Travel_Rarely"/>
    <n v="217"/>
    <x v="1"/>
    <n v="8"/>
    <x v="1"/>
    <x v="0"/>
    <n v="1"/>
    <n v="1019"/>
    <n v="2"/>
    <x v="1"/>
    <n v="94"/>
    <n v="1"/>
    <n v="1"/>
    <x v="2"/>
    <n v="1"/>
    <x v="1"/>
    <n v="2451"/>
    <n v="6881"/>
    <n v="1"/>
    <s v="Y"/>
    <s v="No"/>
    <n v="15"/>
    <n v="3"/>
    <n v="1"/>
    <n v="80"/>
    <n v="1"/>
    <n v="4"/>
    <n v="3"/>
    <n v="2"/>
    <n v="4"/>
    <n v="3"/>
    <n v="1"/>
    <n v="1"/>
    <n v="0"/>
    <x v="4"/>
  </r>
  <r>
    <n v="48"/>
    <x v="1"/>
    <s v="Travel_Rarely"/>
    <n v="277"/>
    <x v="1"/>
    <n v="6"/>
    <x v="3"/>
    <x v="0"/>
    <n v="1"/>
    <n v="1022"/>
    <n v="1"/>
    <x v="1"/>
    <n v="97"/>
    <n v="2"/>
    <n v="2"/>
    <x v="4"/>
    <n v="3"/>
    <x v="0"/>
    <n v="4240"/>
    <n v="13119"/>
    <n v="2"/>
    <s v="Y"/>
    <s v="No"/>
    <n v="13"/>
    <n v="3"/>
    <n v="4"/>
    <n v="80"/>
    <n v="0"/>
    <n v="19"/>
    <n v="0"/>
    <n v="3"/>
    <n v="2"/>
    <n v="2"/>
    <n v="2"/>
    <n v="2"/>
    <n v="0"/>
    <x v="1"/>
  </r>
  <r>
    <n v="48"/>
    <x v="1"/>
    <s v="Travel_Rarely"/>
    <n v="1355"/>
    <x v="1"/>
    <n v="4"/>
    <x v="2"/>
    <x v="0"/>
    <n v="1"/>
    <n v="1024"/>
    <n v="3"/>
    <x v="1"/>
    <n v="78"/>
    <n v="2"/>
    <n v="3"/>
    <x v="4"/>
    <n v="3"/>
    <x v="0"/>
    <n v="10999"/>
    <n v="22245"/>
    <n v="7"/>
    <s v="Y"/>
    <s v="No"/>
    <n v="14"/>
    <n v="3"/>
    <n v="2"/>
    <n v="80"/>
    <n v="0"/>
    <n v="27"/>
    <n v="3"/>
    <n v="3"/>
    <n v="15"/>
    <n v="11"/>
    <n v="4"/>
    <n v="8"/>
    <n v="0"/>
    <x v="1"/>
  </r>
  <r>
    <n v="41"/>
    <x v="1"/>
    <s v="Travel_Rarely"/>
    <n v="549"/>
    <x v="1"/>
    <n v="7"/>
    <x v="0"/>
    <x v="2"/>
    <n v="1"/>
    <n v="1025"/>
    <n v="4"/>
    <x v="0"/>
    <n v="42"/>
    <n v="3"/>
    <n v="2"/>
    <x v="3"/>
    <n v="3"/>
    <x v="0"/>
    <n v="5003"/>
    <n v="23371"/>
    <n v="6"/>
    <s v="Y"/>
    <s v="No"/>
    <n v="14"/>
    <n v="3"/>
    <n v="2"/>
    <n v="80"/>
    <n v="0"/>
    <n v="8"/>
    <n v="6"/>
    <n v="3"/>
    <n v="2"/>
    <n v="2"/>
    <n v="2"/>
    <n v="1"/>
    <n v="0"/>
    <x v="0"/>
  </r>
  <r>
    <n v="39"/>
    <x v="1"/>
    <s v="Travel_Rarely"/>
    <n v="466"/>
    <x v="1"/>
    <n v="1"/>
    <x v="1"/>
    <x v="0"/>
    <n v="1"/>
    <n v="1026"/>
    <n v="4"/>
    <x v="0"/>
    <n v="65"/>
    <n v="2"/>
    <n v="4"/>
    <x v="3"/>
    <n v="4"/>
    <x v="1"/>
    <n v="12742"/>
    <n v="7060"/>
    <n v="1"/>
    <s v="Y"/>
    <s v="No"/>
    <n v="16"/>
    <n v="3"/>
    <n v="3"/>
    <n v="80"/>
    <n v="1"/>
    <n v="21"/>
    <n v="3"/>
    <n v="3"/>
    <n v="21"/>
    <n v="6"/>
    <n v="11"/>
    <n v="8"/>
    <n v="0"/>
    <x v="0"/>
  </r>
  <r>
    <n v="27"/>
    <x v="1"/>
    <s v="Travel_Rarely"/>
    <n v="1055"/>
    <x v="1"/>
    <n v="2"/>
    <x v="2"/>
    <x v="0"/>
    <n v="1"/>
    <n v="1027"/>
    <n v="1"/>
    <x v="0"/>
    <n v="47"/>
    <n v="3"/>
    <n v="2"/>
    <x v="3"/>
    <n v="4"/>
    <x v="1"/>
    <n v="4227"/>
    <n v="4658"/>
    <n v="0"/>
    <s v="Y"/>
    <s v="No"/>
    <n v="18"/>
    <n v="3"/>
    <n v="2"/>
    <n v="80"/>
    <n v="1"/>
    <n v="4"/>
    <n v="2"/>
    <n v="3"/>
    <n v="3"/>
    <n v="2"/>
    <n v="2"/>
    <n v="2"/>
    <n v="0"/>
    <x v="2"/>
  </r>
  <r>
    <n v="35"/>
    <x v="1"/>
    <s v="Travel_Rarely"/>
    <n v="802"/>
    <x v="1"/>
    <n v="10"/>
    <x v="3"/>
    <x v="1"/>
    <n v="1"/>
    <n v="1028"/>
    <n v="2"/>
    <x v="1"/>
    <n v="45"/>
    <n v="3"/>
    <n v="1"/>
    <x v="2"/>
    <n v="4"/>
    <x v="2"/>
    <n v="3917"/>
    <n v="9541"/>
    <n v="1"/>
    <s v="Y"/>
    <s v="No"/>
    <n v="20"/>
    <n v="4"/>
    <n v="1"/>
    <n v="80"/>
    <n v="1"/>
    <n v="3"/>
    <n v="4"/>
    <n v="2"/>
    <n v="3"/>
    <n v="2"/>
    <n v="1"/>
    <n v="2"/>
    <n v="0"/>
    <x v="0"/>
  </r>
  <r>
    <n v="42"/>
    <x v="1"/>
    <s v="Travel_Rarely"/>
    <n v="265"/>
    <x v="0"/>
    <n v="5"/>
    <x v="0"/>
    <x v="3"/>
    <n v="1"/>
    <n v="1029"/>
    <n v="4"/>
    <x v="1"/>
    <n v="90"/>
    <n v="3"/>
    <n v="5"/>
    <x v="5"/>
    <n v="3"/>
    <x v="1"/>
    <n v="18303"/>
    <n v="7770"/>
    <n v="6"/>
    <s v="Y"/>
    <s v="No"/>
    <n v="13"/>
    <n v="3"/>
    <n v="2"/>
    <n v="80"/>
    <n v="0"/>
    <n v="21"/>
    <n v="3"/>
    <n v="4"/>
    <n v="1"/>
    <n v="0"/>
    <n v="0"/>
    <n v="0"/>
    <n v="0"/>
    <x v="0"/>
  </r>
  <r>
    <n v="50"/>
    <x v="1"/>
    <s v="Travel_Rarely"/>
    <n v="804"/>
    <x v="1"/>
    <n v="9"/>
    <x v="3"/>
    <x v="0"/>
    <n v="1"/>
    <n v="1030"/>
    <n v="1"/>
    <x v="1"/>
    <n v="64"/>
    <n v="3"/>
    <n v="1"/>
    <x v="2"/>
    <n v="4"/>
    <x v="1"/>
    <n v="2380"/>
    <n v="20165"/>
    <n v="4"/>
    <s v="Y"/>
    <s v="No"/>
    <n v="18"/>
    <n v="3"/>
    <n v="2"/>
    <n v="80"/>
    <n v="0"/>
    <n v="8"/>
    <n v="5"/>
    <n v="3"/>
    <n v="1"/>
    <n v="0"/>
    <n v="0"/>
    <n v="0"/>
    <n v="0"/>
    <x v="1"/>
  </r>
  <r>
    <n v="59"/>
    <x v="1"/>
    <s v="Travel_Rarely"/>
    <n v="715"/>
    <x v="1"/>
    <n v="2"/>
    <x v="3"/>
    <x v="0"/>
    <n v="1"/>
    <n v="1032"/>
    <n v="3"/>
    <x v="0"/>
    <n v="69"/>
    <n v="2"/>
    <n v="4"/>
    <x v="3"/>
    <n v="4"/>
    <x v="0"/>
    <n v="13726"/>
    <n v="21829"/>
    <n v="3"/>
    <s v="Y"/>
    <s v="Yes"/>
    <n v="13"/>
    <n v="3"/>
    <n v="1"/>
    <n v="80"/>
    <n v="0"/>
    <n v="30"/>
    <n v="4"/>
    <n v="3"/>
    <n v="5"/>
    <n v="3"/>
    <n v="4"/>
    <n v="3"/>
    <n v="0"/>
    <x v="3"/>
  </r>
  <r>
    <n v="37"/>
    <x v="0"/>
    <s v="Travel_Rarely"/>
    <n v="1141"/>
    <x v="1"/>
    <n v="11"/>
    <x v="0"/>
    <x v="2"/>
    <n v="1"/>
    <n v="1033"/>
    <n v="1"/>
    <x v="0"/>
    <n v="61"/>
    <n v="1"/>
    <n v="2"/>
    <x v="4"/>
    <n v="2"/>
    <x v="1"/>
    <n v="4777"/>
    <n v="14382"/>
    <n v="5"/>
    <s v="Y"/>
    <s v="No"/>
    <n v="15"/>
    <n v="3"/>
    <n v="1"/>
    <n v="80"/>
    <n v="0"/>
    <n v="15"/>
    <n v="2"/>
    <n v="1"/>
    <n v="1"/>
    <n v="0"/>
    <n v="0"/>
    <n v="0"/>
    <n v="1"/>
    <x v="0"/>
  </r>
  <r>
    <n v="55"/>
    <x v="1"/>
    <s v="Travel_Frequently"/>
    <n v="135"/>
    <x v="1"/>
    <n v="18"/>
    <x v="2"/>
    <x v="2"/>
    <n v="1"/>
    <n v="1034"/>
    <n v="3"/>
    <x v="1"/>
    <n v="62"/>
    <n v="3"/>
    <n v="2"/>
    <x v="4"/>
    <n v="2"/>
    <x v="1"/>
    <n v="6385"/>
    <n v="12992"/>
    <n v="3"/>
    <s v="Y"/>
    <s v="Yes"/>
    <n v="14"/>
    <n v="3"/>
    <n v="4"/>
    <n v="80"/>
    <n v="2"/>
    <n v="17"/>
    <n v="3"/>
    <n v="3"/>
    <n v="8"/>
    <n v="7"/>
    <n v="6"/>
    <n v="7"/>
    <n v="0"/>
    <x v="3"/>
  </r>
  <r>
    <n v="41"/>
    <x v="1"/>
    <s v="Non-Travel"/>
    <n v="247"/>
    <x v="1"/>
    <n v="7"/>
    <x v="1"/>
    <x v="0"/>
    <n v="1"/>
    <n v="1035"/>
    <n v="2"/>
    <x v="0"/>
    <n v="55"/>
    <n v="1"/>
    <n v="5"/>
    <x v="7"/>
    <n v="3"/>
    <x v="2"/>
    <n v="19973"/>
    <n v="20284"/>
    <n v="1"/>
    <s v="Y"/>
    <s v="No"/>
    <n v="22"/>
    <n v="4"/>
    <n v="2"/>
    <n v="80"/>
    <n v="2"/>
    <n v="21"/>
    <n v="3"/>
    <n v="3"/>
    <n v="21"/>
    <n v="16"/>
    <n v="5"/>
    <n v="10"/>
    <n v="0"/>
    <x v="0"/>
  </r>
  <r>
    <n v="38"/>
    <x v="1"/>
    <s v="Travel_Rarely"/>
    <n v="1035"/>
    <x v="0"/>
    <n v="3"/>
    <x v="2"/>
    <x v="0"/>
    <n v="1"/>
    <n v="1036"/>
    <n v="2"/>
    <x v="1"/>
    <n v="42"/>
    <n v="3"/>
    <n v="2"/>
    <x v="0"/>
    <n v="4"/>
    <x v="0"/>
    <n v="6861"/>
    <n v="4981"/>
    <n v="8"/>
    <s v="Y"/>
    <s v="Yes"/>
    <n v="12"/>
    <n v="3"/>
    <n v="3"/>
    <n v="80"/>
    <n v="0"/>
    <n v="19"/>
    <n v="1"/>
    <n v="3"/>
    <n v="1"/>
    <n v="0"/>
    <n v="0"/>
    <n v="0"/>
    <n v="0"/>
    <x v="0"/>
  </r>
  <r>
    <n v="26"/>
    <x v="0"/>
    <s v="Non-Travel"/>
    <n v="265"/>
    <x v="0"/>
    <n v="29"/>
    <x v="0"/>
    <x v="2"/>
    <n v="1"/>
    <n v="1037"/>
    <n v="2"/>
    <x v="1"/>
    <n v="79"/>
    <n v="1"/>
    <n v="2"/>
    <x v="0"/>
    <n v="1"/>
    <x v="0"/>
    <n v="4969"/>
    <n v="21813"/>
    <n v="8"/>
    <s v="Y"/>
    <s v="No"/>
    <n v="18"/>
    <n v="3"/>
    <n v="4"/>
    <n v="80"/>
    <n v="0"/>
    <n v="7"/>
    <n v="6"/>
    <n v="3"/>
    <n v="2"/>
    <n v="2"/>
    <n v="2"/>
    <n v="2"/>
    <n v="1"/>
    <x v="2"/>
  </r>
  <r>
    <n v="52"/>
    <x v="0"/>
    <s v="Travel_Rarely"/>
    <n v="266"/>
    <x v="0"/>
    <n v="2"/>
    <x v="1"/>
    <x v="3"/>
    <n v="1"/>
    <n v="1038"/>
    <n v="1"/>
    <x v="0"/>
    <n v="57"/>
    <n v="1"/>
    <n v="5"/>
    <x v="5"/>
    <n v="4"/>
    <x v="1"/>
    <n v="19845"/>
    <n v="25846"/>
    <n v="1"/>
    <s v="Y"/>
    <s v="No"/>
    <n v="15"/>
    <n v="3"/>
    <n v="4"/>
    <n v="80"/>
    <n v="1"/>
    <n v="33"/>
    <n v="3"/>
    <n v="3"/>
    <n v="32"/>
    <n v="14"/>
    <n v="6"/>
    <n v="9"/>
    <n v="1"/>
    <x v="1"/>
  </r>
  <r>
    <n v="44"/>
    <x v="1"/>
    <s v="Travel_Rarely"/>
    <n v="1448"/>
    <x v="0"/>
    <n v="28"/>
    <x v="3"/>
    <x v="2"/>
    <n v="1"/>
    <n v="1039"/>
    <n v="4"/>
    <x v="0"/>
    <n v="53"/>
    <n v="4"/>
    <n v="4"/>
    <x v="0"/>
    <n v="4"/>
    <x v="1"/>
    <n v="13320"/>
    <n v="11737"/>
    <n v="3"/>
    <s v="Y"/>
    <s v="Yes"/>
    <n v="18"/>
    <n v="3"/>
    <n v="3"/>
    <n v="80"/>
    <n v="1"/>
    <n v="23"/>
    <n v="2"/>
    <n v="3"/>
    <n v="12"/>
    <n v="11"/>
    <n v="11"/>
    <n v="11"/>
    <n v="0"/>
    <x v="0"/>
  </r>
  <r>
    <n v="50"/>
    <x v="1"/>
    <s v="Non-Travel"/>
    <n v="145"/>
    <x v="0"/>
    <n v="1"/>
    <x v="3"/>
    <x v="0"/>
    <n v="1"/>
    <n v="1040"/>
    <n v="4"/>
    <x v="0"/>
    <n v="95"/>
    <n v="3"/>
    <n v="2"/>
    <x v="0"/>
    <n v="3"/>
    <x v="1"/>
    <n v="6347"/>
    <n v="24920"/>
    <n v="0"/>
    <s v="Y"/>
    <s v="No"/>
    <n v="12"/>
    <n v="3"/>
    <n v="1"/>
    <n v="80"/>
    <n v="1"/>
    <n v="19"/>
    <n v="3"/>
    <n v="3"/>
    <n v="18"/>
    <n v="7"/>
    <n v="0"/>
    <n v="13"/>
    <n v="0"/>
    <x v="1"/>
  </r>
  <r>
    <n v="36"/>
    <x v="0"/>
    <s v="Travel_Rarely"/>
    <n v="885"/>
    <x v="1"/>
    <n v="16"/>
    <x v="2"/>
    <x v="0"/>
    <n v="1"/>
    <n v="1042"/>
    <n v="3"/>
    <x v="0"/>
    <n v="43"/>
    <n v="4"/>
    <n v="1"/>
    <x v="2"/>
    <n v="1"/>
    <x v="0"/>
    <n v="2743"/>
    <n v="8269"/>
    <n v="1"/>
    <s v="Y"/>
    <s v="No"/>
    <n v="16"/>
    <n v="3"/>
    <n v="3"/>
    <n v="80"/>
    <n v="0"/>
    <n v="18"/>
    <n v="1"/>
    <n v="3"/>
    <n v="17"/>
    <n v="13"/>
    <n v="15"/>
    <n v="14"/>
    <n v="1"/>
    <x v="0"/>
  </r>
  <r>
    <n v="39"/>
    <x v="1"/>
    <s v="Travel_Frequently"/>
    <n v="945"/>
    <x v="1"/>
    <n v="22"/>
    <x v="3"/>
    <x v="2"/>
    <n v="1"/>
    <n v="1043"/>
    <n v="4"/>
    <x v="0"/>
    <n v="82"/>
    <n v="3"/>
    <n v="3"/>
    <x v="3"/>
    <n v="1"/>
    <x v="0"/>
    <n v="10880"/>
    <n v="5083"/>
    <n v="1"/>
    <s v="Y"/>
    <s v="Yes"/>
    <n v="13"/>
    <n v="3"/>
    <n v="3"/>
    <n v="80"/>
    <n v="0"/>
    <n v="21"/>
    <n v="2"/>
    <n v="3"/>
    <n v="21"/>
    <n v="6"/>
    <n v="2"/>
    <n v="8"/>
    <n v="0"/>
    <x v="0"/>
  </r>
  <r>
    <n v="33"/>
    <x v="1"/>
    <s v="Non-Travel"/>
    <n v="1038"/>
    <x v="0"/>
    <n v="8"/>
    <x v="1"/>
    <x v="0"/>
    <n v="1"/>
    <n v="1044"/>
    <n v="2"/>
    <x v="0"/>
    <n v="88"/>
    <n v="2"/>
    <n v="1"/>
    <x v="6"/>
    <n v="4"/>
    <x v="0"/>
    <n v="2342"/>
    <n v="21437"/>
    <n v="0"/>
    <s v="Y"/>
    <s v="No"/>
    <n v="19"/>
    <n v="3"/>
    <n v="4"/>
    <n v="80"/>
    <n v="0"/>
    <n v="3"/>
    <n v="2"/>
    <n v="2"/>
    <n v="2"/>
    <n v="2"/>
    <n v="2"/>
    <n v="2"/>
    <n v="0"/>
    <x v="2"/>
  </r>
  <r>
    <n v="45"/>
    <x v="1"/>
    <s v="Travel_Rarely"/>
    <n v="1234"/>
    <x v="0"/>
    <n v="11"/>
    <x v="0"/>
    <x v="0"/>
    <n v="1"/>
    <n v="1045"/>
    <n v="4"/>
    <x v="0"/>
    <n v="90"/>
    <n v="3"/>
    <n v="4"/>
    <x v="5"/>
    <n v="4"/>
    <x v="1"/>
    <n v="17650"/>
    <n v="5404"/>
    <n v="3"/>
    <s v="Y"/>
    <s v="No"/>
    <n v="13"/>
    <n v="3"/>
    <n v="2"/>
    <n v="80"/>
    <n v="1"/>
    <n v="26"/>
    <n v="4"/>
    <n v="4"/>
    <n v="9"/>
    <n v="3"/>
    <n v="1"/>
    <n v="1"/>
    <n v="0"/>
    <x v="1"/>
  </r>
  <r>
    <n v="32"/>
    <x v="1"/>
    <s v="Non-Travel"/>
    <n v="1109"/>
    <x v="1"/>
    <n v="29"/>
    <x v="2"/>
    <x v="2"/>
    <n v="1"/>
    <n v="1046"/>
    <n v="4"/>
    <x v="0"/>
    <n v="69"/>
    <n v="3"/>
    <n v="1"/>
    <x v="2"/>
    <n v="3"/>
    <x v="0"/>
    <n v="4025"/>
    <n v="11135"/>
    <n v="9"/>
    <s v="Y"/>
    <s v="No"/>
    <n v="12"/>
    <n v="3"/>
    <n v="2"/>
    <n v="80"/>
    <n v="0"/>
    <n v="10"/>
    <n v="2"/>
    <n v="3"/>
    <n v="8"/>
    <n v="7"/>
    <n v="7"/>
    <n v="7"/>
    <n v="0"/>
    <x v="2"/>
  </r>
  <r>
    <n v="34"/>
    <x v="1"/>
    <s v="Travel_Rarely"/>
    <n v="216"/>
    <x v="0"/>
    <n v="1"/>
    <x v="2"/>
    <x v="3"/>
    <n v="1"/>
    <n v="1047"/>
    <n v="2"/>
    <x v="1"/>
    <n v="75"/>
    <n v="4"/>
    <n v="2"/>
    <x v="0"/>
    <n v="4"/>
    <x v="2"/>
    <n v="9725"/>
    <n v="12278"/>
    <n v="0"/>
    <s v="Y"/>
    <s v="No"/>
    <n v="11"/>
    <n v="3"/>
    <n v="4"/>
    <n v="80"/>
    <n v="1"/>
    <n v="16"/>
    <n v="2"/>
    <n v="2"/>
    <n v="15"/>
    <n v="1"/>
    <n v="0"/>
    <n v="9"/>
    <n v="0"/>
    <x v="2"/>
  </r>
  <r>
    <n v="59"/>
    <x v="1"/>
    <s v="Travel_Rarely"/>
    <n v="1089"/>
    <x v="0"/>
    <n v="1"/>
    <x v="0"/>
    <x v="4"/>
    <n v="1"/>
    <n v="1048"/>
    <n v="2"/>
    <x v="1"/>
    <n v="66"/>
    <n v="3"/>
    <n v="3"/>
    <x v="5"/>
    <n v="4"/>
    <x v="1"/>
    <n v="11904"/>
    <n v="11038"/>
    <n v="3"/>
    <s v="Y"/>
    <s v="Yes"/>
    <n v="14"/>
    <n v="3"/>
    <n v="3"/>
    <n v="80"/>
    <n v="1"/>
    <n v="14"/>
    <n v="1"/>
    <n v="1"/>
    <n v="6"/>
    <n v="4"/>
    <n v="0"/>
    <n v="4"/>
    <n v="0"/>
    <x v="3"/>
  </r>
  <r>
    <n v="45"/>
    <x v="1"/>
    <s v="Travel_Rarely"/>
    <n v="788"/>
    <x v="2"/>
    <n v="24"/>
    <x v="2"/>
    <x v="2"/>
    <n v="1"/>
    <n v="1049"/>
    <n v="2"/>
    <x v="1"/>
    <n v="36"/>
    <n v="3"/>
    <n v="1"/>
    <x v="8"/>
    <n v="2"/>
    <x v="0"/>
    <n v="2177"/>
    <n v="8318"/>
    <n v="1"/>
    <s v="Y"/>
    <s v="No"/>
    <n v="16"/>
    <n v="3"/>
    <n v="1"/>
    <n v="80"/>
    <n v="0"/>
    <n v="6"/>
    <n v="3"/>
    <n v="3"/>
    <n v="6"/>
    <n v="3"/>
    <n v="0"/>
    <n v="4"/>
    <n v="0"/>
    <x v="1"/>
  </r>
  <r>
    <n v="53"/>
    <x v="1"/>
    <s v="Travel_Frequently"/>
    <n v="124"/>
    <x v="0"/>
    <n v="2"/>
    <x v="3"/>
    <x v="3"/>
    <n v="1"/>
    <n v="1050"/>
    <n v="3"/>
    <x v="0"/>
    <n v="38"/>
    <n v="2"/>
    <n v="3"/>
    <x v="0"/>
    <n v="2"/>
    <x v="1"/>
    <n v="7525"/>
    <n v="23537"/>
    <n v="2"/>
    <s v="Y"/>
    <s v="No"/>
    <n v="12"/>
    <n v="3"/>
    <n v="1"/>
    <n v="80"/>
    <n v="1"/>
    <n v="30"/>
    <n v="2"/>
    <n v="3"/>
    <n v="15"/>
    <n v="7"/>
    <n v="6"/>
    <n v="12"/>
    <n v="0"/>
    <x v="1"/>
  </r>
  <r>
    <n v="36"/>
    <x v="0"/>
    <s v="Travel_Rarely"/>
    <n v="660"/>
    <x v="1"/>
    <n v="15"/>
    <x v="3"/>
    <x v="1"/>
    <n v="1"/>
    <n v="1052"/>
    <n v="1"/>
    <x v="1"/>
    <n v="81"/>
    <n v="3"/>
    <n v="2"/>
    <x v="2"/>
    <n v="3"/>
    <x v="2"/>
    <n v="4834"/>
    <n v="7858"/>
    <n v="7"/>
    <s v="Y"/>
    <s v="No"/>
    <n v="14"/>
    <n v="3"/>
    <n v="2"/>
    <n v="80"/>
    <n v="1"/>
    <n v="9"/>
    <n v="3"/>
    <n v="2"/>
    <n v="1"/>
    <n v="0"/>
    <n v="0"/>
    <n v="0"/>
    <n v="1"/>
    <x v="0"/>
  </r>
  <r>
    <n v="26"/>
    <x v="0"/>
    <s v="Travel_Frequently"/>
    <n v="342"/>
    <x v="1"/>
    <n v="2"/>
    <x v="3"/>
    <x v="0"/>
    <n v="1"/>
    <n v="1053"/>
    <n v="1"/>
    <x v="1"/>
    <n v="57"/>
    <n v="3"/>
    <n v="1"/>
    <x v="1"/>
    <n v="1"/>
    <x v="1"/>
    <n v="2042"/>
    <n v="15346"/>
    <n v="6"/>
    <s v="Y"/>
    <s v="Yes"/>
    <n v="14"/>
    <n v="3"/>
    <n v="2"/>
    <n v="80"/>
    <n v="1"/>
    <n v="6"/>
    <n v="2"/>
    <n v="3"/>
    <n v="3"/>
    <n v="2"/>
    <n v="1"/>
    <n v="2"/>
    <n v="1"/>
    <x v="2"/>
  </r>
  <r>
    <n v="34"/>
    <x v="1"/>
    <s v="Travel_Rarely"/>
    <n v="1333"/>
    <x v="0"/>
    <n v="10"/>
    <x v="2"/>
    <x v="0"/>
    <n v="1"/>
    <n v="1055"/>
    <n v="3"/>
    <x v="0"/>
    <n v="87"/>
    <n v="3"/>
    <n v="1"/>
    <x v="6"/>
    <n v="3"/>
    <x v="1"/>
    <n v="2220"/>
    <n v="18410"/>
    <n v="1"/>
    <s v="Y"/>
    <s v="Yes"/>
    <n v="19"/>
    <n v="3"/>
    <n v="4"/>
    <n v="80"/>
    <n v="1"/>
    <n v="1"/>
    <n v="2"/>
    <n v="3"/>
    <n v="1"/>
    <n v="1"/>
    <n v="0"/>
    <n v="0"/>
    <n v="0"/>
    <x v="2"/>
  </r>
  <r>
    <n v="28"/>
    <x v="1"/>
    <s v="Travel_Rarely"/>
    <n v="1144"/>
    <x v="0"/>
    <n v="10"/>
    <x v="1"/>
    <x v="2"/>
    <n v="1"/>
    <n v="1056"/>
    <n v="4"/>
    <x v="1"/>
    <n v="74"/>
    <n v="3"/>
    <n v="1"/>
    <x v="6"/>
    <n v="2"/>
    <x v="1"/>
    <n v="1052"/>
    <n v="23384"/>
    <n v="1"/>
    <s v="Y"/>
    <s v="No"/>
    <n v="22"/>
    <n v="4"/>
    <n v="2"/>
    <n v="80"/>
    <n v="0"/>
    <n v="1"/>
    <n v="5"/>
    <n v="3"/>
    <n v="1"/>
    <n v="0"/>
    <n v="0"/>
    <n v="0"/>
    <n v="0"/>
    <x v="2"/>
  </r>
  <r>
    <n v="38"/>
    <x v="1"/>
    <s v="Travel_Frequently"/>
    <n v="1186"/>
    <x v="1"/>
    <n v="3"/>
    <x v="2"/>
    <x v="1"/>
    <n v="1"/>
    <n v="1060"/>
    <n v="3"/>
    <x v="1"/>
    <n v="44"/>
    <n v="3"/>
    <n v="1"/>
    <x v="1"/>
    <n v="3"/>
    <x v="1"/>
    <n v="2821"/>
    <n v="2997"/>
    <n v="3"/>
    <s v="Y"/>
    <s v="No"/>
    <n v="16"/>
    <n v="3"/>
    <n v="1"/>
    <n v="80"/>
    <n v="1"/>
    <n v="8"/>
    <n v="2"/>
    <n v="3"/>
    <n v="2"/>
    <n v="2"/>
    <n v="2"/>
    <n v="2"/>
    <n v="0"/>
    <x v="0"/>
  </r>
  <r>
    <n v="50"/>
    <x v="1"/>
    <s v="Travel_Rarely"/>
    <n v="1464"/>
    <x v="1"/>
    <n v="2"/>
    <x v="2"/>
    <x v="2"/>
    <n v="1"/>
    <n v="1061"/>
    <n v="2"/>
    <x v="1"/>
    <n v="62"/>
    <n v="3"/>
    <n v="5"/>
    <x v="7"/>
    <n v="3"/>
    <x v="1"/>
    <n v="19237"/>
    <n v="12853"/>
    <n v="2"/>
    <s v="Y"/>
    <s v="Yes"/>
    <n v="11"/>
    <n v="3"/>
    <n v="4"/>
    <n v="80"/>
    <n v="1"/>
    <n v="29"/>
    <n v="2"/>
    <n v="2"/>
    <n v="8"/>
    <n v="1"/>
    <n v="7"/>
    <n v="7"/>
    <n v="0"/>
    <x v="1"/>
  </r>
  <r>
    <n v="37"/>
    <x v="1"/>
    <s v="Travel_Rarely"/>
    <n v="124"/>
    <x v="1"/>
    <n v="3"/>
    <x v="3"/>
    <x v="1"/>
    <n v="1"/>
    <n v="1062"/>
    <n v="4"/>
    <x v="0"/>
    <n v="35"/>
    <n v="3"/>
    <n v="2"/>
    <x v="4"/>
    <n v="2"/>
    <x v="0"/>
    <n v="4107"/>
    <n v="13848"/>
    <n v="3"/>
    <s v="Y"/>
    <s v="No"/>
    <n v="15"/>
    <n v="3"/>
    <n v="1"/>
    <n v="80"/>
    <n v="0"/>
    <n v="8"/>
    <n v="3"/>
    <n v="2"/>
    <n v="4"/>
    <n v="3"/>
    <n v="0"/>
    <n v="1"/>
    <n v="0"/>
    <x v="0"/>
  </r>
  <r>
    <n v="40"/>
    <x v="1"/>
    <s v="Travel_Rarely"/>
    <n v="300"/>
    <x v="0"/>
    <n v="26"/>
    <x v="3"/>
    <x v="3"/>
    <n v="1"/>
    <n v="1066"/>
    <n v="3"/>
    <x v="1"/>
    <n v="74"/>
    <n v="3"/>
    <n v="2"/>
    <x v="0"/>
    <n v="1"/>
    <x v="1"/>
    <n v="8396"/>
    <n v="22217"/>
    <n v="1"/>
    <s v="Y"/>
    <s v="No"/>
    <n v="14"/>
    <n v="3"/>
    <n v="2"/>
    <n v="80"/>
    <n v="1"/>
    <n v="8"/>
    <n v="3"/>
    <n v="2"/>
    <n v="7"/>
    <n v="7"/>
    <n v="7"/>
    <n v="5"/>
    <n v="0"/>
    <x v="0"/>
  </r>
  <r>
    <n v="26"/>
    <x v="1"/>
    <s v="Travel_Frequently"/>
    <n v="921"/>
    <x v="1"/>
    <n v="1"/>
    <x v="1"/>
    <x v="2"/>
    <n v="1"/>
    <n v="1068"/>
    <n v="1"/>
    <x v="0"/>
    <n v="66"/>
    <n v="2"/>
    <n v="1"/>
    <x v="1"/>
    <n v="3"/>
    <x v="2"/>
    <n v="2007"/>
    <n v="25265"/>
    <n v="1"/>
    <s v="Y"/>
    <s v="No"/>
    <n v="13"/>
    <n v="3"/>
    <n v="3"/>
    <n v="80"/>
    <n v="2"/>
    <n v="5"/>
    <n v="5"/>
    <n v="3"/>
    <n v="5"/>
    <n v="3"/>
    <n v="1"/>
    <n v="3"/>
    <n v="0"/>
    <x v="2"/>
  </r>
  <r>
    <n v="46"/>
    <x v="1"/>
    <s v="Travel_Rarely"/>
    <n v="430"/>
    <x v="1"/>
    <n v="1"/>
    <x v="2"/>
    <x v="2"/>
    <n v="1"/>
    <n v="1069"/>
    <n v="4"/>
    <x v="1"/>
    <n v="40"/>
    <n v="3"/>
    <n v="5"/>
    <x v="7"/>
    <n v="4"/>
    <x v="2"/>
    <n v="19627"/>
    <n v="21445"/>
    <n v="9"/>
    <s v="Y"/>
    <s v="No"/>
    <n v="17"/>
    <n v="3"/>
    <n v="4"/>
    <n v="80"/>
    <n v="2"/>
    <n v="23"/>
    <n v="0"/>
    <n v="3"/>
    <n v="2"/>
    <n v="2"/>
    <n v="2"/>
    <n v="2"/>
    <n v="0"/>
    <x v="1"/>
  </r>
  <r>
    <n v="54"/>
    <x v="1"/>
    <s v="Travel_Rarely"/>
    <n v="1082"/>
    <x v="0"/>
    <n v="2"/>
    <x v="2"/>
    <x v="0"/>
    <n v="1"/>
    <n v="1070"/>
    <n v="3"/>
    <x v="0"/>
    <n v="41"/>
    <n v="2"/>
    <n v="3"/>
    <x v="0"/>
    <n v="3"/>
    <x v="1"/>
    <n v="10686"/>
    <n v="8392"/>
    <n v="6"/>
    <s v="Y"/>
    <s v="No"/>
    <n v="11"/>
    <n v="3"/>
    <n v="2"/>
    <n v="80"/>
    <n v="1"/>
    <n v="13"/>
    <n v="4"/>
    <n v="3"/>
    <n v="9"/>
    <n v="4"/>
    <n v="7"/>
    <n v="0"/>
    <n v="0"/>
    <x v="1"/>
  </r>
  <r>
    <n v="56"/>
    <x v="1"/>
    <s v="Travel_Frequently"/>
    <n v="1240"/>
    <x v="1"/>
    <n v="9"/>
    <x v="3"/>
    <x v="2"/>
    <n v="1"/>
    <n v="1071"/>
    <n v="1"/>
    <x v="0"/>
    <n v="63"/>
    <n v="3"/>
    <n v="1"/>
    <x v="1"/>
    <n v="3"/>
    <x v="1"/>
    <n v="2942"/>
    <n v="12154"/>
    <n v="2"/>
    <s v="Y"/>
    <s v="No"/>
    <n v="19"/>
    <n v="3"/>
    <n v="2"/>
    <n v="80"/>
    <n v="1"/>
    <n v="18"/>
    <n v="4"/>
    <n v="3"/>
    <n v="5"/>
    <n v="4"/>
    <n v="0"/>
    <n v="3"/>
    <n v="0"/>
    <x v="3"/>
  </r>
  <r>
    <n v="36"/>
    <x v="1"/>
    <s v="Travel_Rarely"/>
    <n v="796"/>
    <x v="1"/>
    <n v="12"/>
    <x v="4"/>
    <x v="2"/>
    <n v="1"/>
    <n v="1073"/>
    <n v="4"/>
    <x v="0"/>
    <n v="51"/>
    <n v="2"/>
    <n v="3"/>
    <x v="3"/>
    <n v="4"/>
    <x v="0"/>
    <n v="8858"/>
    <n v="15669"/>
    <n v="0"/>
    <s v="Y"/>
    <s v="No"/>
    <n v="11"/>
    <n v="3"/>
    <n v="2"/>
    <n v="80"/>
    <n v="0"/>
    <n v="15"/>
    <n v="2"/>
    <n v="2"/>
    <n v="14"/>
    <n v="8"/>
    <n v="7"/>
    <n v="8"/>
    <n v="0"/>
    <x v="0"/>
  </r>
  <r>
    <n v="55"/>
    <x v="1"/>
    <s v="Non-Travel"/>
    <n v="444"/>
    <x v="1"/>
    <n v="2"/>
    <x v="1"/>
    <x v="2"/>
    <n v="1"/>
    <n v="1074"/>
    <n v="3"/>
    <x v="1"/>
    <n v="40"/>
    <n v="2"/>
    <n v="4"/>
    <x v="5"/>
    <n v="1"/>
    <x v="0"/>
    <n v="16756"/>
    <n v="17323"/>
    <n v="7"/>
    <s v="Y"/>
    <s v="No"/>
    <n v="15"/>
    <n v="3"/>
    <n v="2"/>
    <n v="80"/>
    <n v="0"/>
    <n v="31"/>
    <n v="3"/>
    <n v="4"/>
    <n v="9"/>
    <n v="7"/>
    <n v="6"/>
    <n v="2"/>
    <n v="0"/>
    <x v="3"/>
  </r>
  <r>
    <n v="43"/>
    <x v="1"/>
    <s v="Travel_Rarely"/>
    <n v="415"/>
    <x v="0"/>
    <n v="25"/>
    <x v="3"/>
    <x v="2"/>
    <n v="1"/>
    <n v="1076"/>
    <n v="3"/>
    <x v="1"/>
    <n v="79"/>
    <n v="2"/>
    <n v="3"/>
    <x v="0"/>
    <n v="4"/>
    <x v="2"/>
    <n v="10798"/>
    <n v="5268"/>
    <n v="5"/>
    <s v="Y"/>
    <s v="No"/>
    <n v="13"/>
    <n v="3"/>
    <n v="3"/>
    <n v="80"/>
    <n v="1"/>
    <n v="18"/>
    <n v="5"/>
    <n v="3"/>
    <n v="1"/>
    <n v="0"/>
    <n v="0"/>
    <n v="0"/>
    <n v="0"/>
    <x v="0"/>
  </r>
  <r>
    <n v="20"/>
    <x v="0"/>
    <s v="Travel_Frequently"/>
    <n v="769"/>
    <x v="0"/>
    <n v="9"/>
    <x v="3"/>
    <x v="3"/>
    <n v="1"/>
    <n v="1077"/>
    <n v="4"/>
    <x v="0"/>
    <n v="54"/>
    <n v="3"/>
    <n v="1"/>
    <x v="6"/>
    <n v="4"/>
    <x v="0"/>
    <n v="2323"/>
    <n v="17205"/>
    <n v="1"/>
    <s v="Y"/>
    <s v="Yes"/>
    <n v="14"/>
    <n v="3"/>
    <n v="2"/>
    <n v="80"/>
    <n v="0"/>
    <n v="2"/>
    <n v="3"/>
    <n v="3"/>
    <n v="2"/>
    <n v="2"/>
    <n v="0"/>
    <n v="2"/>
    <n v="1"/>
    <x v="4"/>
  </r>
  <r>
    <n v="21"/>
    <x v="0"/>
    <s v="Travel_Rarely"/>
    <n v="1334"/>
    <x v="1"/>
    <n v="10"/>
    <x v="3"/>
    <x v="0"/>
    <n v="1"/>
    <n v="1079"/>
    <n v="3"/>
    <x v="0"/>
    <n v="36"/>
    <n v="2"/>
    <n v="1"/>
    <x v="2"/>
    <n v="1"/>
    <x v="0"/>
    <n v="1416"/>
    <n v="17258"/>
    <n v="1"/>
    <s v="Y"/>
    <s v="No"/>
    <n v="13"/>
    <n v="3"/>
    <n v="1"/>
    <n v="80"/>
    <n v="0"/>
    <n v="1"/>
    <n v="6"/>
    <n v="2"/>
    <n v="1"/>
    <n v="0"/>
    <n v="1"/>
    <n v="0"/>
    <n v="1"/>
    <x v="4"/>
  </r>
  <r>
    <n v="46"/>
    <x v="1"/>
    <s v="Travel_Rarely"/>
    <n v="1003"/>
    <x v="1"/>
    <n v="8"/>
    <x v="2"/>
    <x v="0"/>
    <n v="1"/>
    <n v="1080"/>
    <n v="4"/>
    <x v="0"/>
    <n v="74"/>
    <n v="2"/>
    <n v="2"/>
    <x v="1"/>
    <n v="1"/>
    <x v="2"/>
    <n v="4615"/>
    <n v="21029"/>
    <n v="8"/>
    <s v="Y"/>
    <s v="Yes"/>
    <n v="23"/>
    <n v="4"/>
    <n v="1"/>
    <n v="80"/>
    <n v="3"/>
    <n v="19"/>
    <n v="2"/>
    <n v="3"/>
    <n v="16"/>
    <n v="13"/>
    <n v="1"/>
    <n v="7"/>
    <n v="0"/>
    <x v="1"/>
  </r>
  <r>
    <n v="51"/>
    <x v="0"/>
    <s v="Travel_Rarely"/>
    <n v="1323"/>
    <x v="1"/>
    <n v="4"/>
    <x v="2"/>
    <x v="0"/>
    <n v="1"/>
    <n v="1081"/>
    <n v="1"/>
    <x v="1"/>
    <n v="34"/>
    <n v="3"/>
    <n v="1"/>
    <x v="1"/>
    <n v="3"/>
    <x v="1"/>
    <n v="2461"/>
    <n v="10332"/>
    <n v="9"/>
    <s v="Y"/>
    <s v="Yes"/>
    <n v="12"/>
    <n v="3"/>
    <n v="3"/>
    <n v="80"/>
    <n v="3"/>
    <n v="18"/>
    <n v="2"/>
    <n v="4"/>
    <n v="10"/>
    <n v="0"/>
    <n v="2"/>
    <n v="7"/>
    <n v="1"/>
    <x v="1"/>
  </r>
  <r>
    <n v="28"/>
    <x v="0"/>
    <s v="Non-Travel"/>
    <n v="1366"/>
    <x v="1"/>
    <n v="24"/>
    <x v="0"/>
    <x v="4"/>
    <n v="1"/>
    <n v="1082"/>
    <n v="2"/>
    <x v="1"/>
    <n v="72"/>
    <n v="2"/>
    <n v="3"/>
    <x v="4"/>
    <n v="1"/>
    <x v="0"/>
    <n v="8722"/>
    <n v="12355"/>
    <n v="1"/>
    <s v="Y"/>
    <s v="No"/>
    <n v="12"/>
    <n v="3"/>
    <n v="1"/>
    <n v="80"/>
    <n v="0"/>
    <n v="10"/>
    <n v="2"/>
    <n v="2"/>
    <n v="10"/>
    <n v="7"/>
    <n v="1"/>
    <n v="9"/>
    <n v="1"/>
    <x v="2"/>
  </r>
  <r>
    <n v="26"/>
    <x v="1"/>
    <s v="Travel_Rarely"/>
    <n v="192"/>
    <x v="1"/>
    <n v="1"/>
    <x v="0"/>
    <x v="2"/>
    <n v="1"/>
    <n v="1083"/>
    <n v="1"/>
    <x v="1"/>
    <n v="59"/>
    <n v="2"/>
    <n v="1"/>
    <x v="2"/>
    <n v="1"/>
    <x v="1"/>
    <n v="3955"/>
    <n v="11141"/>
    <n v="1"/>
    <s v="Y"/>
    <s v="No"/>
    <n v="16"/>
    <n v="3"/>
    <n v="1"/>
    <n v="80"/>
    <n v="2"/>
    <n v="6"/>
    <n v="2"/>
    <n v="3"/>
    <n v="5"/>
    <n v="3"/>
    <n v="1"/>
    <n v="3"/>
    <n v="0"/>
    <x v="2"/>
  </r>
  <r>
    <n v="30"/>
    <x v="1"/>
    <s v="Travel_Rarely"/>
    <n v="1176"/>
    <x v="1"/>
    <n v="20"/>
    <x v="3"/>
    <x v="1"/>
    <n v="1"/>
    <n v="1084"/>
    <n v="3"/>
    <x v="1"/>
    <n v="85"/>
    <n v="3"/>
    <n v="2"/>
    <x v="3"/>
    <n v="1"/>
    <x v="1"/>
    <n v="9957"/>
    <n v="9096"/>
    <n v="0"/>
    <s v="Y"/>
    <s v="No"/>
    <n v="15"/>
    <n v="3"/>
    <n v="3"/>
    <n v="80"/>
    <n v="1"/>
    <n v="7"/>
    <n v="1"/>
    <n v="2"/>
    <n v="6"/>
    <n v="2"/>
    <n v="0"/>
    <n v="2"/>
    <n v="0"/>
    <x v="2"/>
  </r>
  <r>
    <n v="41"/>
    <x v="1"/>
    <s v="Travel_Rarely"/>
    <n v="509"/>
    <x v="1"/>
    <n v="7"/>
    <x v="0"/>
    <x v="4"/>
    <n v="1"/>
    <n v="1085"/>
    <n v="2"/>
    <x v="0"/>
    <n v="43"/>
    <n v="4"/>
    <n v="1"/>
    <x v="1"/>
    <n v="3"/>
    <x v="1"/>
    <n v="3376"/>
    <n v="18863"/>
    <n v="1"/>
    <s v="Y"/>
    <s v="No"/>
    <n v="13"/>
    <n v="3"/>
    <n v="3"/>
    <n v="80"/>
    <n v="0"/>
    <n v="10"/>
    <n v="3"/>
    <n v="3"/>
    <n v="10"/>
    <n v="6"/>
    <n v="0"/>
    <n v="8"/>
    <n v="0"/>
    <x v="0"/>
  </r>
  <r>
    <n v="38"/>
    <x v="1"/>
    <s v="Travel_Rarely"/>
    <n v="330"/>
    <x v="1"/>
    <n v="17"/>
    <x v="1"/>
    <x v="0"/>
    <n v="1"/>
    <n v="1088"/>
    <n v="3"/>
    <x v="0"/>
    <n v="65"/>
    <n v="2"/>
    <n v="3"/>
    <x v="4"/>
    <n v="3"/>
    <x v="1"/>
    <n v="8823"/>
    <n v="24608"/>
    <n v="0"/>
    <s v="Y"/>
    <s v="No"/>
    <n v="18"/>
    <n v="3"/>
    <n v="1"/>
    <n v="80"/>
    <n v="1"/>
    <n v="20"/>
    <n v="4"/>
    <n v="2"/>
    <n v="19"/>
    <n v="9"/>
    <n v="1"/>
    <n v="9"/>
    <n v="0"/>
    <x v="0"/>
  </r>
  <r>
    <n v="40"/>
    <x v="1"/>
    <s v="Travel_Rarely"/>
    <n v="1492"/>
    <x v="1"/>
    <n v="20"/>
    <x v="2"/>
    <x v="4"/>
    <n v="1"/>
    <n v="1092"/>
    <n v="1"/>
    <x v="1"/>
    <n v="61"/>
    <n v="3"/>
    <n v="3"/>
    <x v="4"/>
    <n v="4"/>
    <x v="1"/>
    <n v="10322"/>
    <n v="26542"/>
    <n v="4"/>
    <s v="Y"/>
    <s v="No"/>
    <n v="20"/>
    <n v="4"/>
    <n v="4"/>
    <n v="80"/>
    <n v="1"/>
    <n v="14"/>
    <n v="6"/>
    <n v="3"/>
    <n v="11"/>
    <n v="10"/>
    <n v="11"/>
    <n v="1"/>
    <n v="0"/>
    <x v="0"/>
  </r>
  <r>
    <n v="27"/>
    <x v="1"/>
    <s v="Non-Travel"/>
    <n v="1277"/>
    <x v="1"/>
    <n v="8"/>
    <x v="4"/>
    <x v="0"/>
    <n v="1"/>
    <n v="1094"/>
    <n v="1"/>
    <x v="1"/>
    <n v="87"/>
    <n v="1"/>
    <n v="1"/>
    <x v="2"/>
    <n v="3"/>
    <x v="1"/>
    <n v="4621"/>
    <n v="5869"/>
    <n v="1"/>
    <s v="Y"/>
    <s v="No"/>
    <n v="19"/>
    <n v="3"/>
    <n v="4"/>
    <n v="80"/>
    <n v="3"/>
    <n v="3"/>
    <n v="4"/>
    <n v="3"/>
    <n v="3"/>
    <n v="2"/>
    <n v="1"/>
    <n v="2"/>
    <n v="0"/>
    <x v="2"/>
  </r>
  <r>
    <n v="55"/>
    <x v="1"/>
    <s v="Travel_Frequently"/>
    <n v="1091"/>
    <x v="1"/>
    <n v="2"/>
    <x v="1"/>
    <x v="0"/>
    <n v="1"/>
    <n v="1096"/>
    <n v="4"/>
    <x v="1"/>
    <n v="65"/>
    <n v="3"/>
    <n v="3"/>
    <x v="3"/>
    <n v="2"/>
    <x v="1"/>
    <n v="10976"/>
    <n v="15813"/>
    <n v="3"/>
    <s v="Y"/>
    <s v="No"/>
    <n v="18"/>
    <n v="3"/>
    <n v="2"/>
    <n v="80"/>
    <n v="1"/>
    <n v="23"/>
    <n v="4"/>
    <n v="3"/>
    <n v="3"/>
    <n v="2"/>
    <n v="1"/>
    <n v="2"/>
    <n v="0"/>
    <x v="3"/>
  </r>
  <r>
    <n v="28"/>
    <x v="1"/>
    <s v="Travel_Rarely"/>
    <n v="857"/>
    <x v="1"/>
    <n v="10"/>
    <x v="3"/>
    <x v="1"/>
    <n v="1"/>
    <n v="1097"/>
    <n v="3"/>
    <x v="0"/>
    <n v="59"/>
    <n v="3"/>
    <n v="2"/>
    <x v="1"/>
    <n v="3"/>
    <x v="0"/>
    <n v="3660"/>
    <n v="7909"/>
    <n v="3"/>
    <s v="Y"/>
    <s v="No"/>
    <n v="13"/>
    <n v="3"/>
    <n v="4"/>
    <n v="80"/>
    <n v="0"/>
    <n v="10"/>
    <n v="4"/>
    <n v="4"/>
    <n v="8"/>
    <n v="7"/>
    <n v="1"/>
    <n v="7"/>
    <n v="0"/>
    <x v="2"/>
  </r>
  <r>
    <n v="44"/>
    <x v="0"/>
    <s v="Travel_Rarely"/>
    <n v="1376"/>
    <x v="2"/>
    <n v="1"/>
    <x v="0"/>
    <x v="2"/>
    <n v="1"/>
    <n v="1098"/>
    <n v="2"/>
    <x v="1"/>
    <n v="91"/>
    <n v="2"/>
    <n v="3"/>
    <x v="8"/>
    <n v="1"/>
    <x v="1"/>
    <n v="10482"/>
    <n v="2326"/>
    <n v="9"/>
    <s v="Y"/>
    <s v="No"/>
    <n v="14"/>
    <n v="3"/>
    <n v="4"/>
    <n v="80"/>
    <n v="1"/>
    <n v="24"/>
    <n v="1"/>
    <n v="3"/>
    <n v="20"/>
    <n v="6"/>
    <n v="3"/>
    <n v="6"/>
    <n v="1"/>
    <x v="0"/>
  </r>
  <r>
    <n v="33"/>
    <x v="1"/>
    <s v="Travel_Rarely"/>
    <n v="654"/>
    <x v="1"/>
    <n v="5"/>
    <x v="3"/>
    <x v="0"/>
    <n v="1"/>
    <n v="1099"/>
    <n v="4"/>
    <x v="1"/>
    <n v="34"/>
    <n v="2"/>
    <n v="3"/>
    <x v="4"/>
    <n v="4"/>
    <x v="2"/>
    <n v="7119"/>
    <n v="21214"/>
    <n v="4"/>
    <s v="Y"/>
    <s v="No"/>
    <n v="15"/>
    <n v="3"/>
    <n v="3"/>
    <n v="80"/>
    <n v="1"/>
    <n v="9"/>
    <n v="2"/>
    <n v="3"/>
    <n v="3"/>
    <n v="2"/>
    <n v="1"/>
    <n v="2"/>
    <n v="0"/>
    <x v="2"/>
  </r>
  <r>
    <n v="35"/>
    <x v="0"/>
    <s v="Travel_Rarely"/>
    <n v="1204"/>
    <x v="0"/>
    <n v="4"/>
    <x v="3"/>
    <x v="4"/>
    <n v="1"/>
    <n v="1100"/>
    <n v="4"/>
    <x v="1"/>
    <n v="86"/>
    <n v="3"/>
    <n v="3"/>
    <x v="0"/>
    <n v="1"/>
    <x v="0"/>
    <n v="9582"/>
    <n v="10333"/>
    <n v="0"/>
    <s v="Y"/>
    <s v="Yes"/>
    <n v="22"/>
    <n v="4"/>
    <n v="1"/>
    <n v="80"/>
    <n v="0"/>
    <n v="9"/>
    <n v="2"/>
    <n v="3"/>
    <n v="8"/>
    <n v="7"/>
    <n v="4"/>
    <n v="7"/>
    <n v="1"/>
    <x v="0"/>
  </r>
  <r>
    <n v="33"/>
    <x v="0"/>
    <s v="Travel_Frequently"/>
    <n v="827"/>
    <x v="1"/>
    <n v="29"/>
    <x v="2"/>
    <x v="2"/>
    <n v="1"/>
    <n v="1101"/>
    <n v="1"/>
    <x v="0"/>
    <n v="54"/>
    <n v="2"/>
    <n v="2"/>
    <x v="1"/>
    <n v="3"/>
    <x v="0"/>
    <n v="4508"/>
    <n v="3129"/>
    <n v="1"/>
    <s v="Y"/>
    <s v="No"/>
    <n v="22"/>
    <n v="4"/>
    <n v="2"/>
    <n v="80"/>
    <n v="0"/>
    <n v="14"/>
    <n v="4"/>
    <n v="3"/>
    <n v="13"/>
    <n v="7"/>
    <n v="3"/>
    <n v="8"/>
    <n v="1"/>
    <x v="2"/>
  </r>
  <r>
    <n v="28"/>
    <x v="1"/>
    <s v="Travel_Rarely"/>
    <n v="895"/>
    <x v="1"/>
    <n v="15"/>
    <x v="0"/>
    <x v="0"/>
    <n v="1"/>
    <n v="1102"/>
    <n v="1"/>
    <x v="1"/>
    <n v="50"/>
    <n v="3"/>
    <n v="1"/>
    <x v="2"/>
    <n v="3"/>
    <x v="2"/>
    <n v="2207"/>
    <n v="22482"/>
    <n v="1"/>
    <s v="Y"/>
    <s v="No"/>
    <n v="16"/>
    <n v="3"/>
    <n v="4"/>
    <n v="80"/>
    <n v="1"/>
    <n v="4"/>
    <n v="5"/>
    <n v="2"/>
    <n v="4"/>
    <n v="2"/>
    <n v="2"/>
    <n v="2"/>
    <n v="0"/>
    <x v="2"/>
  </r>
  <r>
    <n v="34"/>
    <x v="1"/>
    <s v="Travel_Frequently"/>
    <n v="618"/>
    <x v="1"/>
    <n v="3"/>
    <x v="1"/>
    <x v="0"/>
    <n v="1"/>
    <n v="1103"/>
    <n v="1"/>
    <x v="1"/>
    <n v="45"/>
    <n v="3"/>
    <n v="2"/>
    <x v="4"/>
    <n v="4"/>
    <x v="0"/>
    <n v="7756"/>
    <n v="22266"/>
    <n v="0"/>
    <s v="Y"/>
    <s v="No"/>
    <n v="17"/>
    <n v="3"/>
    <n v="3"/>
    <n v="80"/>
    <n v="0"/>
    <n v="7"/>
    <n v="1"/>
    <n v="2"/>
    <n v="6"/>
    <n v="2"/>
    <n v="0"/>
    <n v="4"/>
    <n v="0"/>
    <x v="2"/>
  </r>
  <r>
    <n v="37"/>
    <x v="1"/>
    <s v="Travel_Rarely"/>
    <n v="309"/>
    <x v="0"/>
    <n v="10"/>
    <x v="2"/>
    <x v="0"/>
    <n v="1"/>
    <n v="1105"/>
    <n v="4"/>
    <x v="0"/>
    <n v="88"/>
    <n v="2"/>
    <n v="2"/>
    <x v="0"/>
    <n v="4"/>
    <x v="2"/>
    <n v="6694"/>
    <n v="24223"/>
    <n v="2"/>
    <s v="Y"/>
    <s v="Yes"/>
    <n v="14"/>
    <n v="3"/>
    <n v="3"/>
    <n v="80"/>
    <n v="3"/>
    <n v="8"/>
    <n v="5"/>
    <n v="3"/>
    <n v="1"/>
    <n v="0"/>
    <n v="0"/>
    <n v="0"/>
    <n v="0"/>
    <x v="0"/>
  </r>
  <r>
    <n v="25"/>
    <x v="0"/>
    <s v="Travel_Rarely"/>
    <n v="1219"/>
    <x v="1"/>
    <n v="4"/>
    <x v="1"/>
    <x v="4"/>
    <n v="1"/>
    <n v="1106"/>
    <n v="4"/>
    <x v="1"/>
    <n v="32"/>
    <n v="3"/>
    <n v="1"/>
    <x v="2"/>
    <n v="4"/>
    <x v="1"/>
    <n v="3691"/>
    <n v="4605"/>
    <n v="1"/>
    <s v="Y"/>
    <s v="Yes"/>
    <n v="15"/>
    <n v="3"/>
    <n v="2"/>
    <n v="80"/>
    <n v="1"/>
    <n v="7"/>
    <n v="3"/>
    <n v="4"/>
    <n v="7"/>
    <n v="7"/>
    <n v="5"/>
    <n v="6"/>
    <n v="1"/>
    <x v="2"/>
  </r>
  <r>
    <n v="26"/>
    <x v="0"/>
    <s v="Travel_Rarely"/>
    <n v="1330"/>
    <x v="1"/>
    <n v="21"/>
    <x v="3"/>
    <x v="2"/>
    <n v="1"/>
    <n v="1107"/>
    <n v="1"/>
    <x v="1"/>
    <n v="37"/>
    <n v="3"/>
    <n v="1"/>
    <x v="2"/>
    <n v="3"/>
    <x v="2"/>
    <n v="2377"/>
    <n v="19373"/>
    <n v="1"/>
    <s v="Y"/>
    <s v="No"/>
    <n v="20"/>
    <n v="4"/>
    <n v="3"/>
    <n v="80"/>
    <n v="1"/>
    <n v="1"/>
    <n v="0"/>
    <n v="2"/>
    <n v="1"/>
    <n v="1"/>
    <n v="0"/>
    <n v="0"/>
    <n v="1"/>
    <x v="2"/>
  </r>
  <r>
    <n v="33"/>
    <x v="0"/>
    <s v="Travel_Rarely"/>
    <n v="1017"/>
    <x v="1"/>
    <n v="25"/>
    <x v="3"/>
    <x v="2"/>
    <n v="1"/>
    <n v="1108"/>
    <n v="1"/>
    <x v="1"/>
    <n v="55"/>
    <n v="2"/>
    <n v="1"/>
    <x v="1"/>
    <n v="2"/>
    <x v="0"/>
    <n v="2313"/>
    <n v="2993"/>
    <n v="4"/>
    <s v="Y"/>
    <s v="Yes"/>
    <n v="20"/>
    <n v="4"/>
    <n v="2"/>
    <n v="80"/>
    <n v="0"/>
    <n v="5"/>
    <n v="0"/>
    <n v="3"/>
    <n v="2"/>
    <n v="2"/>
    <n v="2"/>
    <n v="2"/>
    <n v="1"/>
    <x v="2"/>
  </r>
  <r>
    <n v="42"/>
    <x v="1"/>
    <s v="Travel_Rarely"/>
    <n v="469"/>
    <x v="1"/>
    <n v="2"/>
    <x v="0"/>
    <x v="2"/>
    <n v="1"/>
    <n v="1109"/>
    <n v="4"/>
    <x v="1"/>
    <n v="35"/>
    <n v="3"/>
    <n v="4"/>
    <x v="5"/>
    <n v="1"/>
    <x v="1"/>
    <n v="17665"/>
    <n v="14399"/>
    <n v="0"/>
    <s v="Y"/>
    <s v="No"/>
    <n v="17"/>
    <n v="3"/>
    <n v="4"/>
    <n v="80"/>
    <n v="1"/>
    <n v="23"/>
    <n v="3"/>
    <n v="3"/>
    <n v="22"/>
    <n v="6"/>
    <n v="13"/>
    <n v="7"/>
    <n v="0"/>
    <x v="0"/>
  </r>
  <r>
    <n v="28"/>
    <x v="0"/>
    <s v="Travel_Frequently"/>
    <n v="1009"/>
    <x v="1"/>
    <n v="1"/>
    <x v="3"/>
    <x v="2"/>
    <n v="1"/>
    <n v="1111"/>
    <n v="1"/>
    <x v="1"/>
    <n v="45"/>
    <n v="2"/>
    <n v="1"/>
    <x v="2"/>
    <n v="2"/>
    <x v="2"/>
    <n v="2596"/>
    <n v="7160"/>
    <n v="1"/>
    <s v="Y"/>
    <s v="No"/>
    <n v="15"/>
    <n v="3"/>
    <n v="1"/>
    <n v="80"/>
    <n v="2"/>
    <n v="1"/>
    <n v="2"/>
    <n v="3"/>
    <n v="1"/>
    <n v="0"/>
    <n v="0"/>
    <n v="0"/>
    <n v="1"/>
    <x v="2"/>
  </r>
  <r>
    <n v="50"/>
    <x v="0"/>
    <s v="Travel_Frequently"/>
    <n v="959"/>
    <x v="0"/>
    <n v="1"/>
    <x v="2"/>
    <x v="1"/>
    <n v="1"/>
    <n v="1113"/>
    <n v="4"/>
    <x v="1"/>
    <n v="81"/>
    <n v="3"/>
    <n v="2"/>
    <x v="0"/>
    <n v="3"/>
    <x v="0"/>
    <n v="4728"/>
    <n v="17251"/>
    <n v="3"/>
    <s v="Y"/>
    <s v="Yes"/>
    <n v="14"/>
    <n v="3"/>
    <n v="4"/>
    <n v="80"/>
    <n v="0"/>
    <n v="5"/>
    <n v="4"/>
    <n v="3"/>
    <n v="0"/>
    <n v="0"/>
    <n v="0"/>
    <n v="0"/>
    <n v="1"/>
    <x v="1"/>
  </r>
  <r>
    <n v="33"/>
    <x v="1"/>
    <s v="Travel_Frequently"/>
    <n v="970"/>
    <x v="0"/>
    <n v="7"/>
    <x v="3"/>
    <x v="0"/>
    <n v="1"/>
    <n v="1114"/>
    <n v="4"/>
    <x v="0"/>
    <n v="30"/>
    <n v="3"/>
    <n v="2"/>
    <x v="0"/>
    <n v="2"/>
    <x v="1"/>
    <n v="4302"/>
    <n v="13401"/>
    <n v="0"/>
    <s v="Y"/>
    <s v="No"/>
    <n v="17"/>
    <n v="3"/>
    <n v="3"/>
    <n v="80"/>
    <n v="1"/>
    <n v="4"/>
    <n v="3"/>
    <n v="3"/>
    <n v="3"/>
    <n v="2"/>
    <n v="0"/>
    <n v="2"/>
    <n v="0"/>
    <x v="2"/>
  </r>
  <r>
    <n v="34"/>
    <x v="1"/>
    <s v="Non-Travel"/>
    <n v="697"/>
    <x v="1"/>
    <n v="3"/>
    <x v="2"/>
    <x v="0"/>
    <n v="1"/>
    <n v="1115"/>
    <n v="3"/>
    <x v="1"/>
    <n v="40"/>
    <n v="2"/>
    <n v="1"/>
    <x v="1"/>
    <n v="4"/>
    <x v="1"/>
    <n v="2979"/>
    <n v="22478"/>
    <n v="3"/>
    <s v="Y"/>
    <s v="No"/>
    <n v="17"/>
    <n v="3"/>
    <n v="4"/>
    <n v="80"/>
    <n v="3"/>
    <n v="6"/>
    <n v="2"/>
    <n v="3"/>
    <n v="0"/>
    <n v="0"/>
    <n v="0"/>
    <n v="0"/>
    <n v="0"/>
    <x v="2"/>
  </r>
  <r>
    <n v="48"/>
    <x v="1"/>
    <s v="Non-Travel"/>
    <n v="1262"/>
    <x v="1"/>
    <n v="1"/>
    <x v="2"/>
    <x v="2"/>
    <n v="1"/>
    <n v="1116"/>
    <n v="1"/>
    <x v="1"/>
    <n v="35"/>
    <n v="4"/>
    <n v="4"/>
    <x v="5"/>
    <n v="4"/>
    <x v="0"/>
    <n v="16885"/>
    <n v="16154"/>
    <n v="2"/>
    <s v="Y"/>
    <s v="No"/>
    <n v="22"/>
    <n v="4"/>
    <n v="3"/>
    <n v="80"/>
    <n v="0"/>
    <n v="27"/>
    <n v="3"/>
    <n v="2"/>
    <n v="5"/>
    <n v="4"/>
    <n v="2"/>
    <n v="1"/>
    <n v="0"/>
    <x v="1"/>
  </r>
  <r>
    <n v="45"/>
    <x v="1"/>
    <s v="Non-Travel"/>
    <n v="1050"/>
    <x v="0"/>
    <n v="9"/>
    <x v="2"/>
    <x v="0"/>
    <n v="1"/>
    <n v="1117"/>
    <n v="2"/>
    <x v="0"/>
    <n v="65"/>
    <n v="2"/>
    <n v="2"/>
    <x v="0"/>
    <n v="3"/>
    <x v="1"/>
    <n v="5593"/>
    <n v="17970"/>
    <n v="1"/>
    <s v="Y"/>
    <s v="No"/>
    <n v="13"/>
    <n v="3"/>
    <n v="4"/>
    <n v="80"/>
    <n v="1"/>
    <n v="15"/>
    <n v="2"/>
    <n v="3"/>
    <n v="15"/>
    <n v="10"/>
    <n v="4"/>
    <n v="12"/>
    <n v="0"/>
    <x v="1"/>
  </r>
  <r>
    <n v="52"/>
    <x v="1"/>
    <s v="Travel_Rarely"/>
    <n v="994"/>
    <x v="1"/>
    <n v="7"/>
    <x v="2"/>
    <x v="0"/>
    <n v="1"/>
    <n v="1118"/>
    <n v="2"/>
    <x v="1"/>
    <n v="87"/>
    <n v="3"/>
    <n v="3"/>
    <x v="4"/>
    <n v="2"/>
    <x v="0"/>
    <n v="10445"/>
    <n v="15322"/>
    <n v="7"/>
    <s v="Y"/>
    <s v="No"/>
    <n v="19"/>
    <n v="3"/>
    <n v="4"/>
    <n v="80"/>
    <n v="0"/>
    <n v="18"/>
    <n v="4"/>
    <n v="3"/>
    <n v="8"/>
    <n v="6"/>
    <n v="4"/>
    <n v="0"/>
    <n v="0"/>
    <x v="1"/>
  </r>
  <r>
    <n v="38"/>
    <x v="1"/>
    <s v="Travel_Rarely"/>
    <n v="770"/>
    <x v="0"/>
    <n v="10"/>
    <x v="2"/>
    <x v="3"/>
    <n v="1"/>
    <n v="1119"/>
    <n v="3"/>
    <x v="1"/>
    <n v="73"/>
    <n v="2"/>
    <n v="3"/>
    <x v="0"/>
    <n v="3"/>
    <x v="2"/>
    <n v="8740"/>
    <n v="5569"/>
    <n v="0"/>
    <s v="Y"/>
    <s v="Yes"/>
    <n v="14"/>
    <n v="3"/>
    <n v="2"/>
    <n v="80"/>
    <n v="2"/>
    <n v="9"/>
    <n v="2"/>
    <n v="3"/>
    <n v="8"/>
    <n v="7"/>
    <n v="2"/>
    <n v="7"/>
    <n v="0"/>
    <x v="0"/>
  </r>
  <r>
    <n v="29"/>
    <x v="1"/>
    <s v="Travel_Rarely"/>
    <n v="1107"/>
    <x v="1"/>
    <n v="28"/>
    <x v="2"/>
    <x v="0"/>
    <n v="1"/>
    <n v="1120"/>
    <n v="3"/>
    <x v="0"/>
    <n v="93"/>
    <n v="3"/>
    <n v="1"/>
    <x v="1"/>
    <n v="4"/>
    <x v="2"/>
    <n v="2514"/>
    <n v="26968"/>
    <n v="4"/>
    <s v="Y"/>
    <s v="No"/>
    <n v="22"/>
    <n v="4"/>
    <n v="1"/>
    <n v="80"/>
    <n v="1"/>
    <n v="11"/>
    <n v="1"/>
    <n v="3"/>
    <n v="7"/>
    <n v="5"/>
    <n v="1"/>
    <n v="7"/>
    <n v="0"/>
    <x v="2"/>
  </r>
  <r>
    <n v="28"/>
    <x v="1"/>
    <s v="Travel_Rarely"/>
    <n v="950"/>
    <x v="1"/>
    <n v="3"/>
    <x v="3"/>
    <x v="2"/>
    <n v="1"/>
    <n v="1121"/>
    <n v="4"/>
    <x v="0"/>
    <n v="93"/>
    <n v="3"/>
    <n v="3"/>
    <x v="3"/>
    <n v="2"/>
    <x v="2"/>
    <n v="7655"/>
    <n v="8039"/>
    <n v="0"/>
    <s v="Y"/>
    <s v="No"/>
    <n v="17"/>
    <n v="3"/>
    <n v="2"/>
    <n v="80"/>
    <n v="3"/>
    <n v="10"/>
    <n v="3"/>
    <n v="2"/>
    <n v="9"/>
    <n v="7"/>
    <n v="1"/>
    <n v="7"/>
    <n v="0"/>
    <x v="2"/>
  </r>
  <r>
    <n v="46"/>
    <x v="1"/>
    <s v="Travel_Rarely"/>
    <n v="406"/>
    <x v="0"/>
    <n v="3"/>
    <x v="1"/>
    <x v="3"/>
    <n v="1"/>
    <n v="1124"/>
    <n v="1"/>
    <x v="1"/>
    <n v="52"/>
    <n v="3"/>
    <n v="4"/>
    <x v="5"/>
    <n v="3"/>
    <x v="1"/>
    <n v="17465"/>
    <n v="15596"/>
    <n v="3"/>
    <s v="Y"/>
    <s v="No"/>
    <n v="12"/>
    <n v="3"/>
    <n v="4"/>
    <n v="80"/>
    <n v="1"/>
    <n v="23"/>
    <n v="3"/>
    <n v="3"/>
    <n v="12"/>
    <n v="9"/>
    <n v="4"/>
    <n v="9"/>
    <n v="0"/>
    <x v="1"/>
  </r>
  <r>
    <n v="38"/>
    <x v="1"/>
    <s v="Travel_Rarely"/>
    <n v="130"/>
    <x v="0"/>
    <n v="2"/>
    <x v="0"/>
    <x v="3"/>
    <n v="1"/>
    <n v="1125"/>
    <n v="4"/>
    <x v="1"/>
    <n v="32"/>
    <n v="3"/>
    <n v="3"/>
    <x v="0"/>
    <n v="2"/>
    <x v="0"/>
    <n v="7351"/>
    <n v="20619"/>
    <n v="7"/>
    <s v="Y"/>
    <s v="No"/>
    <n v="16"/>
    <n v="3"/>
    <n v="3"/>
    <n v="80"/>
    <n v="0"/>
    <n v="10"/>
    <n v="2"/>
    <n v="3"/>
    <n v="1"/>
    <n v="0"/>
    <n v="0"/>
    <n v="0"/>
    <n v="0"/>
    <x v="0"/>
  </r>
  <r>
    <n v="43"/>
    <x v="1"/>
    <s v="Travel_Frequently"/>
    <n v="1082"/>
    <x v="1"/>
    <n v="27"/>
    <x v="3"/>
    <x v="0"/>
    <n v="1"/>
    <n v="1126"/>
    <n v="3"/>
    <x v="0"/>
    <n v="83"/>
    <n v="3"/>
    <n v="3"/>
    <x v="3"/>
    <n v="1"/>
    <x v="1"/>
    <n v="10820"/>
    <n v="11535"/>
    <n v="8"/>
    <s v="Y"/>
    <s v="No"/>
    <n v="11"/>
    <n v="3"/>
    <n v="3"/>
    <n v="80"/>
    <n v="1"/>
    <n v="18"/>
    <n v="1"/>
    <n v="3"/>
    <n v="8"/>
    <n v="7"/>
    <n v="0"/>
    <n v="1"/>
    <n v="0"/>
    <x v="0"/>
  </r>
  <r>
    <n v="39"/>
    <x v="0"/>
    <s v="Travel_Frequently"/>
    <n v="203"/>
    <x v="1"/>
    <n v="2"/>
    <x v="3"/>
    <x v="0"/>
    <n v="1"/>
    <n v="1127"/>
    <n v="1"/>
    <x v="1"/>
    <n v="84"/>
    <n v="3"/>
    <n v="4"/>
    <x v="4"/>
    <n v="4"/>
    <x v="2"/>
    <n v="12169"/>
    <n v="13547"/>
    <n v="7"/>
    <s v="Y"/>
    <s v="No"/>
    <n v="11"/>
    <n v="3"/>
    <n v="4"/>
    <n v="80"/>
    <n v="3"/>
    <n v="21"/>
    <n v="4"/>
    <n v="3"/>
    <n v="18"/>
    <n v="7"/>
    <n v="11"/>
    <n v="5"/>
    <n v="1"/>
    <x v="0"/>
  </r>
  <r>
    <n v="40"/>
    <x v="1"/>
    <s v="Travel_Rarely"/>
    <n v="1308"/>
    <x v="1"/>
    <n v="14"/>
    <x v="3"/>
    <x v="2"/>
    <n v="1"/>
    <n v="1128"/>
    <n v="3"/>
    <x v="1"/>
    <n v="44"/>
    <n v="2"/>
    <n v="5"/>
    <x v="7"/>
    <n v="3"/>
    <x v="0"/>
    <n v="19626"/>
    <n v="17544"/>
    <n v="1"/>
    <s v="Y"/>
    <s v="No"/>
    <n v="14"/>
    <n v="3"/>
    <n v="1"/>
    <n v="80"/>
    <n v="0"/>
    <n v="21"/>
    <n v="2"/>
    <n v="4"/>
    <n v="20"/>
    <n v="7"/>
    <n v="4"/>
    <n v="9"/>
    <n v="0"/>
    <x v="0"/>
  </r>
  <r>
    <n v="21"/>
    <x v="1"/>
    <s v="Travel_Rarely"/>
    <n v="984"/>
    <x v="1"/>
    <n v="1"/>
    <x v="1"/>
    <x v="4"/>
    <n v="1"/>
    <n v="1131"/>
    <n v="4"/>
    <x v="0"/>
    <n v="70"/>
    <n v="2"/>
    <n v="1"/>
    <x v="1"/>
    <n v="2"/>
    <x v="0"/>
    <n v="2070"/>
    <n v="25326"/>
    <n v="1"/>
    <s v="Y"/>
    <s v="Yes"/>
    <n v="11"/>
    <n v="3"/>
    <n v="3"/>
    <n v="80"/>
    <n v="0"/>
    <n v="2"/>
    <n v="6"/>
    <n v="4"/>
    <n v="2"/>
    <n v="2"/>
    <n v="2"/>
    <n v="2"/>
    <n v="0"/>
    <x v="4"/>
  </r>
  <r>
    <n v="39"/>
    <x v="1"/>
    <s v="Non-Travel"/>
    <n v="439"/>
    <x v="1"/>
    <n v="9"/>
    <x v="3"/>
    <x v="0"/>
    <n v="1"/>
    <n v="1132"/>
    <n v="3"/>
    <x v="1"/>
    <n v="70"/>
    <n v="3"/>
    <n v="2"/>
    <x v="2"/>
    <n v="2"/>
    <x v="0"/>
    <n v="6782"/>
    <n v="8770"/>
    <n v="9"/>
    <s v="Y"/>
    <s v="No"/>
    <n v="15"/>
    <n v="3"/>
    <n v="3"/>
    <n v="80"/>
    <n v="0"/>
    <n v="9"/>
    <n v="2"/>
    <n v="2"/>
    <n v="5"/>
    <n v="4"/>
    <n v="0"/>
    <n v="3"/>
    <n v="0"/>
    <x v="0"/>
  </r>
  <r>
    <n v="36"/>
    <x v="1"/>
    <s v="Non-Travel"/>
    <n v="217"/>
    <x v="1"/>
    <n v="18"/>
    <x v="2"/>
    <x v="0"/>
    <n v="1"/>
    <n v="1133"/>
    <n v="1"/>
    <x v="1"/>
    <n v="78"/>
    <n v="3"/>
    <n v="2"/>
    <x v="3"/>
    <n v="4"/>
    <x v="0"/>
    <n v="7779"/>
    <n v="23238"/>
    <n v="2"/>
    <s v="Y"/>
    <s v="No"/>
    <n v="20"/>
    <n v="4"/>
    <n v="1"/>
    <n v="80"/>
    <n v="0"/>
    <n v="18"/>
    <n v="0"/>
    <n v="3"/>
    <n v="11"/>
    <n v="9"/>
    <n v="0"/>
    <n v="9"/>
    <n v="0"/>
    <x v="0"/>
  </r>
  <r>
    <n v="31"/>
    <x v="1"/>
    <s v="Travel_Frequently"/>
    <n v="793"/>
    <x v="0"/>
    <n v="20"/>
    <x v="3"/>
    <x v="0"/>
    <n v="1"/>
    <n v="1135"/>
    <n v="3"/>
    <x v="1"/>
    <n v="67"/>
    <n v="4"/>
    <n v="1"/>
    <x v="6"/>
    <n v="4"/>
    <x v="1"/>
    <n v="2791"/>
    <n v="21981"/>
    <n v="0"/>
    <s v="Y"/>
    <s v="No"/>
    <n v="12"/>
    <n v="3"/>
    <n v="1"/>
    <n v="80"/>
    <n v="1"/>
    <n v="3"/>
    <n v="4"/>
    <n v="3"/>
    <n v="2"/>
    <n v="2"/>
    <n v="2"/>
    <n v="2"/>
    <n v="0"/>
    <x v="2"/>
  </r>
  <r>
    <n v="28"/>
    <x v="1"/>
    <s v="Travel_Rarely"/>
    <n v="1451"/>
    <x v="1"/>
    <n v="2"/>
    <x v="1"/>
    <x v="0"/>
    <n v="1"/>
    <n v="1136"/>
    <n v="1"/>
    <x v="1"/>
    <n v="67"/>
    <n v="2"/>
    <n v="1"/>
    <x v="1"/>
    <n v="2"/>
    <x v="1"/>
    <n v="3201"/>
    <n v="19911"/>
    <n v="0"/>
    <s v="Y"/>
    <s v="No"/>
    <n v="17"/>
    <n v="3"/>
    <n v="1"/>
    <n v="80"/>
    <n v="0"/>
    <n v="6"/>
    <n v="2"/>
    <n v="1"/>
    <n v="5"/>
    <n v="3"/>
    <n v="0"/>
    <n v="4"/>
    <n v="0"/>
    <x v="2"/>
  </r>
  <r>
    <n v="35"/>
    <x v="1"/>
    <s v="Travel_Frequently"/>
    <n v="1182"/>
    <x v="0"/>
    <n v="11"/>
    <x v="0"/>
    <x v="3"/>
    <n v="1"/>
    <n v="1137"/>
    <n v="4"/>
    <x v="1"/>
    <n v="54"/>
    <n v="3"/>
    <n v="2"/>
    <x v="0"/>
    <n v="4"/>
    <x v="2"/>
    <n v="4968"/>
    <n v="18500"/>
    <n v="1"/>
    <s v="Y"/>
    <s v="No"/>
    <n v="11"/>
    <n v="3"/>
    <n v="4"/>
    <n v="80"/>
    <n v="1"/>
    <n v="5"/>
    <n v="3"/>
    <n v="3"/>
    <n v="5"/>
    <n v="2"/>
    <n v="0"/>
    <n v="2"/>
    <n v="0"/>
    <x v="0"/>
  </r>
  <r>
    <n v="49"/>
    <x v="1"/>
    <s v="Travel_Rarely"/>
    <n v="174"/>
    <x v="0"/>
    <n v="8"/>
    <x v="2"/>
    <x v="4"/>
    <n v="1"/>
    <n v="1138"/>
    <n v="4"/>
    <x v="1"/>
    <n v="56"/>
    <n v="2"/>
    <n v="4"/>
    <x v="0"/>
    <n v="2"/>
    <x v="1"/>
    <n v="13120"/>
    <n v="11879"/>
    <n v="6"/>
    <s v="Y"/>
    <s v="No"/>
    <n v="17"/>
    <n v="3"/>
    <n v="2"/>
    <n v="80"/>
    <n v="1"/>
    <n v="22"/>
    <n v="3"/>
    <n v="3"/>
    <n v="9"/>
    <n v="8"/>
    <n v="2"/>
    <n v="3"/>
    <n v="0"/>
    <x v="1"/>
  </r>
  <r>
    <n v="34"/>
    <x v="1"/>
    <s v="Travel_Frequently"/>
    <n v="1003"/>
    <x v="1"/>
    <n v="2"/>
    <x v="0"/>
    <x v="0"/>
    <n v="1"/>
    <n v="1140"/>
    <n v="4"/>
    <x v="1"/>
    <n v="95"/>
    <n v="3"/>
    <n v="2"/>
    <x v="3"/>
    <n v="3"/>
    <x v="0"/>
    <n v="4033"/>
    <n v="15834"/>
    <n v="2"/>
    <s v="Y"/>
    <s v="No"/>
    <n v="11"/>
    <n v="3"/>
    <n v="4"/>
    <n v="80"/>
    <n v="0"/>
    <n v="5"/>
    <n v="3"/>
    <n v="2"/>
    <n v="3"/>
    <n v="2"/>
    <n v="0"/>
    <n v="2"/>
    <n v="0"/>
    <x v="2"/>
  </r>
  <r>
    <n v="29"/>
    <x v="1"/>
    <s v="Travel_Frequently"/>
    <n v="490"/>
    <x v="1"/>
    <n v="10"/>
    <x v="3"/>
    <x v="0"/>
    <n v="1"/>
    <n v="1143"/>
    <n v="4"/>
    <x v="0"/>
    <n v="61"/>
    <n v="3"/>
    <n v="1"/>
    <x v="1"/>
    <n v="2"/>
    <x v="2"/>
    <n v="3291"/>
    <n v="17940"/>
    <n v="0"/>
    <s v="Y"/>
    <s v="No"/>
    <n v="14"/>
    <n v="3"/>
    <n v="4"/>
    <n v="80"/>
    <n v="2"/>
    <n v="8"/>
    <n v="2"/>
    <n v="2"/>
    <n v="7"/>
    <n v="5"/>
    <n v="1"/>
    <n v="1"/>
    <n v="0"/>
    <x v="2"/>
  </r>
  <r>
    <n v="42"/>
    <x v="1"/>
    <s v="Travel_Rarely"/>
    <n v="188"/>
    <x v="1"/>
    <n v="29"/>
    <x v="3"/>
    <x v="2"/>
    <n v="1"/>
    <n v="1148"/>
    <n v="2"/>
    <x v="1"/>
    <n v="56"/>
    <n v="1"/>
    <n v="2"/>
    <x v="2"/>
    <n v="4"/>
    <x v="0"/>
    <n v="4272"/>
    <n v="9558"/>
    <n v="4"/>
    <s v="Y"/>
    <s v="No"/>
    <n v="19"/>
    <n v="3"/>
    <n v="1"/>
    <n v="80"/>
    <n v="0"/>
    <n v="16"/>
    <n v="3"/>
    <n v="3"/>
    <n v="1"/>
    <n v="0"/>
    <n v="0"/>
    <n v="0"/>
    <n v="0"/>
    <x v="0"/>
  </r>
  <r>
    <n v="29"/>
    <x v="1"/>
    <s v="Travel_Rarely"/>
    <n v="718"/>
    <x v="1"/>
    <n v="8"/>
    <x v="1"/>
    <x v="2"/>
    <n v="1"/>
    <n v="1150"/>
    <n v="2"/>
    <x v="1"/>
    <n v="79"/>
    <n v="2"/>
    <n v="2"/>
    <x v="3"/>
    <n v="4"/>
    <x v="1"/>
    <n v="5056"/>
    <n v="17689"/>
    <n v="1"/>
    <s v="Y"/>
    <s v="Yes"/>
    <n v="15"/>
    <n v="3"/>
    <n v="3"/>
    <n v="80"/>
    <n v="1"/>
    <n v="10"/>
    <n v="2"/>
    <n v="2"/>
    <n v="10"/>
    <n v="7"/>
    <n v="1"/>
    <n v="2"/>
    <n v="0"/>
    <x v="2"/>
  </r>
  <r>
    <n v="38"/>
    <x v="1"/>
    <s v="Travel_Rarely"/>
    <n v="433"/>
    <x v="2"/>
    <n v="1"/>
    <x v="3"/>
    <x v="5"/>
    <n v="1"/>
    <n v="1152"/>
    <n v="3"/>
    <x v="1"/>
    <n v="37"/>
    <n v="4"/>
    <n v="1"/>
    <x v="8"/>
    <n v="3"/>
    <x v="1"/>
    <n v="2844"/>
    <n v="6004"/>
    <n v="1"/>
    <s v="Y"/>
    <s v="No"/>
    <n v="13"/>
    <n v="3"/>
    <n v="4"/>
    <n v="80"/>
    <n v="1"/>
    <n v="7"/>
    <n v="2"/>
    <n v="4"/>
    <n v="7"/>
    <n v="6"/>
    <n v="5"/>
    <n v="0"/>
    <n v="0"/>
    <x v="0"/>
  </r>
  <r>
    <n v="28"/>
    <x v="1"/>
    <s v="Travel_Frequently"/>
    <n v="773"/>
    <x v="1"/>
    <n v="6"/>
    <x v="3"/>
    <x v="0"/>
    <n v="1"/>
    <n v="1154"/>
    <n v="3"/>
    <x v="1"/>
    <n v="39"/>
    <n v="2"/>
    <n v="1"/>
    <x v="1"/>
    <n v="3"/>
    <x v="2"/>
    <n v="2703"/>
    <n v="22088"/>
    <n v="1"/>
    <s v="Y"/>
    <s v="Yes"/>
    <n v="14"/>
    <n v="3"/>
    <n v="4"/>
    <n v="80"/>
    <n v="1"/>
    <n v="3"/>
    <n v="2"/>
    <n v="3"/>
    <n v="3"/>
    <n v="1"/>
    <n v="0"/>
    <n v="2"/>
    <n v="0"/>
    <x v="2"/>
  </r>
  <r>
    <n v="18"/>
    <x v="0"/>
    <s v="Non-Travel"/>
    <n v="247"/>
    <x v="1"/>
    <n v="8"/>
    <x v="1"/>
    <x v="2"/>
    <n v="1"/>
    <n v="1156"/>
    <n v="3"/>
    <x v="1"/>
    <n v="80"/>
    <n v="3"/>
    <n v="1"/>
    <x v="2"/>
    <n v="3"/>
    <x v="0"/>
    <n v="1904"/>
    <n v="13556"/>
    <n v="1"/>
    <s v="Y"/>
    <s v="No"/>
    <n v="12"/>
    <n v="3"/>
    <n v="4"/>
    <n v="80"/>
    <n v="0"/>
    <n v="0"/>
    <n v="0"/>
    <n v="3"/>
    <n v="0"/>
    <n v="0"/>
    <n v="0"/>
    <n v="0"/>
    <n v="1"/>
    <x v="4"/>
  </r>
  <r>
    <n v="33"/>
    <x v="0"/>
    <s v="Travel_Rarely"/>
    <n v="603"/>
    <x v="0"/>
    <n v="9"/>
    <x v="2"/>
    <x v="3"/>
    <n v="1"/>
    <n v="1157"/>
    <n v="1"/>
    <x v="0"/>
    <n v="77"/>
    <n v="3"/>
    <n v="2"/>
    <x v="0"/>
    <n v="1"/>
    <x v="0"/>
    <n v="8224"/>
    <n v="18385"/>
    <n v="0"/>
    <s v="Y"/>
    <s v="Yes"/>
    <n v="17"/>
    <n v="3"/>
    <n v="1"/>
    <n v="80"/>
    <n v="0"/>
    <n v="6"/>
    <n v="3"/>
    <n v="3"/>
    <n v="5"/>
    <n v="2"/>
    <n v="0"/>
    <n v="3"/>
    <n v="1"/>
    <x v="2"/>
  </r>
  <r>
    <n v="41"/>
    <x v="1"/>
    <s v="Travel_Rarely"/>
    <n v="167"/>
    <x v="1"/>
    <n v="12"/>
    <x v="2"/>
    <x v="0"/>
    <n v="1"/>
    <n v="1158"/>
    <n v="2"/>
    <x v="1"/>
    <n v="46"/>
    <n v="3"/>
    <n v="1"/>
    <x v="2"/>
    <n v="4"/>
    <x v="1"/>
    <n v="4766"/>
    <n v="9051"/>
    <n v="3"/>
    <s v="Y"/>
    <s v="Yes"/>
    <n v="11"/>
    <n v="3"/>
    <n v="1"/>
    <n v="80"/>
    <n v="1"/>
    <n v="6"/>
    <n v="4"/>
    <n v="3"/>
    <n v="1"/>
    <n v="0"/>
    <n v="0"/>
    <n v="0"/>
    <n v="0"/>
    <x v="0"/>
  </r>
  <r>
    <n v="31"/>
    <x v="0"/>
    <s v="Travel_Frequently"/>
    <n v="874"/>
    <x v="1"/>
    <n v="15"/>
    <x v="3"/>
    <x v="2"/>
    <n v="1"/>
    <n v="1160"/>
    <n v="3"/>
    <x v="1"/>
    <n v="72"/>
    <n v="3"/>
    <n v="1"/>
    <x v="2"/>
    <n v="3"/>
    <x v="1"/>
    <n v="2610"/>
    <n v="6233"/>
    <n v="1"/>
    <s v="Y"/>
    <s v="No"/>
    <n v="12"/>
    <n v="3"/>
    <n v="3"/>
    <n v="80"/>
    <n v="1"/>
    <n v="2"/>
    <n v="5"/>
    <n v="2"/>
    <n v="2"/>
    <n v="2"/>
    <n v="2"/>
    <n v="2"/>
    <n v="1"/>
    <x v="2"/>
  </r>
  <r>
    <n v="37"/>
    <x v="1"/>
    <s v="Travel_Rarely"/>
    <n v="367"/>
    <x v="1"/>
    <n v="25"/>
    <x v="0"/>
    <x v="2"/>
    <n v="1"/>
    <n v="1161"/>
    <n v="3"/>
    <x v="0"/>
    <n v="52"/>
    <n v="2"/>
    <n v="2"/>
    <x v="4"/>
    <n v="4"/>
    <x v="2"/>
    <n v="5731"/>
    <n v="17171"/>
    <n v="7"/>
    <s v="Y"/>
    <s v="No"/>
    <n v="13"/>
    <n v="3"/>
    <n v="3"/>
    <n v="80"/>
    <n v="2"/>
    <n v="9"/>
    <n v="2"/>
    <n v="3"/>
    <n v="6"/>
    <n v="2"/>
    <n v="1"/>
    <n v="3"/>
    <n v="0"/>
    <x v="0"/>
  </r>
  <r>
    <n v="27"/>
    <x v="1"/>
    <s v="Travel_Rarely"/>
    <n v="199"/>
    <x v="1"/>
    <n v="6"/>
    <x v="3"/>
    <x v="0"/>
    <n v="1"/>
    <n v="1162"/>
    <n v="4"/>
    <x v="1"/>
    <n v="55"/>
    <n v="2"/>
    <n v="1"/>
    <x v="1"/>
    <n v="3"/>
    <x v="1"/>
    <n v="2539"/>
    <n v="7950"/>
    <n v="1"/>
    <s v="Y"/>
    <s v="No"/>
    <n v="13"/>
    <n v="3"/>
    <n v="3"/>
    <n v="80"/>
    <n v="1"/>
    <n v="4"/>
    <n v="0"/>
    <n v="3"/>
    <n v="4"/>
    <n v="2"/>
    <n v="2"/>
    <n v="2"/>
    <n v="0"/>
    <x v="2"/>
  </r>
  <r>
    <n v="34"/>
    <x v="1"/>
    <s v="Travel_Rarely"/>
    <n v="1400"/>
    <x v="0"/>
    <n v="9"/>
    <x v="1"/>
    <x v="0"/>
    <n v="1"/>
    <n v="1163"/>
    <n v="2"/>
    <x v="0"/>
    <n v="70"/>
    <n v="3"/>
    <n v="2"/>
    <x v="0"/>
    <n v="3"/>
    <x v="1"/>
    <n v="5714"/>
    <n v="5829"/>
    <n v="1"/>
    <s v="Y"/>
    <s v="No"/>
    <n v="20"/>
    <n v="4"/>
    <n v="1"/>
    <n v="80"/>
    <n v="0"/>
    <n v="6"/>
    <n v="3"/>
    <n v="2"/>
    <n v="6"/>
    <n v="5"/>
    <n v="1"/>
    <n v="3"/>
    <n v="0"/>
    <x v="2"/>
  </r>
  <r>
    <n v="35"/>
    <x v="1"/>
    <s v="Travel_Rarely"/>
    <n v="528"/>
    <x v="2"/>
    <n v="8"/>
    <x v="2"/>
    <x v="4"/>
    <n v="1"/>
    <n v="1164"/>
    <n v="3"/>
    <x v="1"/>
    <n v="100"/>
    <n v="3"/>
    <n v="1"/>
    <x v="8"/>
    <n v="3"/>
    <x v="0"/>
    <n v="4323"/>
    <n v="7108"/>
    <n v="1"/>
    <s v="Y"/>
    <s v="No"/>
    <n v="17"/>
    <n v="3"/>
    <n v="2"/>
    <n v="80"/>
    <n v="0"/>
    <n v="6"/>
    <n v="2"/>
    <n v="1"/>
    <n v="5"/>
    <n v="4"/>
    <n v="1"/>
    <n v="4"/>
    <n v="0"/>
    <x v="0"/>
  </r>
  <r>
    <n v="29"/>
    <x v="0"/>
    <s v="Travel_Rarely"/>
    <n v="408"/>
    <x v="0"/>
    <n v="23"/>
    <x v="1"/>
    <x v="0"/>
    <n v="1"/>
    <n v="1165"/>
    <n v="4"/>
    <x v="0"/>
    <n v="45"/>
    <n v="2"/>
    <n v="3"/>
    <x v="0"/>
    <n v="1"/>
    <x v="1"/>
    <n v="7336"/>
    <n v="11162"/>
    <n v="1"/>
    <s v="Y"/>
    <s v="No"/>
    <n v="13"/>
    <n v="3"/>
    <n v="1"/>
    <n v="80"/>
    <n v="1"/>
    <n v="11"/>
    <n v="3"/>
    <n v="1"/>
    <n v="11"/>
    <n v="8"/>
    <n v="3"/>
    <n v="10"/>
    <n v="1"/>
    <x v="2"/>
  </r>
  <r>
    <n v="40"/>
    <x v="1"/>
    <s v="Travel_Frequently"/>
    <n v="593"/>
    <x v="1"/>
    <n v="9"/>
    <x v="2"/>
    <x v="2"/>
    <n v="1"/>
    <n v="1166"/>
    <n v="2"/>
    <x v="0"/>
    <n v="88"/>
    <n v="3"/>
    <n v="3"/>
    <x v="7"/>
    <n v="3"/>
    <x v="0"/>
    <n v="13499"/>
    <n v="13782"/>
    <n v="9"/>
    <s v="Y"/>
    <s v="No"/>
    <n v="17"/>
    <n v="3"/>
    <n v="3"/>
    <n v="80"/>
    <n v="0"/>
    <n v="20"/>
    <n v="3"/>
    <n v="2"/>
    <n v="18"/>
    <n v="7"/>
    <n v="2"/>
    <n v="13"/>
    <n v="0"/>
    <x v="0"/>
  </r>
  <r>
    <n v="42"/>
    <x v="0"/>
    <s v="Travel_Frequently"/>
    <n v="481"/>
    <x v="0"/>
    <n v="12"/>
    <x v="3"/>
    <x v="0"/>
    <n v="1"/>
    <n v="1167"/>
    <n v="3"/>
    <x v="1"/>
    <n v="44"/>
    <n v="3"/>
    <n v="4"/>
    <x v="0"/>
    <n v="1"/>
    <x v="0"/>
    <n v="13758"/>
    <n v="2447"/>
    <n v="0"/>
    <s v="Y"/>
    <s v="Yes"/>
    <n v="12"/>
    <n v="3"/>
    <n v="2"/>
    <n v="80"/>
    <n v="0"/>
    <n v="22"/>
    <n v="2"/>
    <n v="2"/>
    <n v="21"/>
    <n v="9"/>
    <n v="13"/>
    <n v="14"/>
    <n v="1"/>
    <x v="0"/>
  </r>
  <r>
    <n v="42"/>
    <x v="1"/>
    <s v="Travel_Rarely"/>
    <n v="647"/>
    <x v="0"/>
    <n v="4"/>
    <x v="2"/>
    <x v="3"/>
    <n v="1"/>
    <n v="1171"/>
    <n v="2"/>
    <x v="1"/>
    <n v="45"/>
    <n v="3"/>
    <n v="2"/>
    <x v="0"/>
    <n v="1"/>
    <x v="0"/>
    <n v="5155"/>
    <n v="2253"/>
    <n v="7"/>
    <s v="Y"/>
    <s v="No"/>
    <n v="13"/>
    <n v="3"/>
    <n v="4"/>
    <n v="80"/>
    <n v="0"/>
    <n v="9"/>
    <n v="3"/>
    <n v="4"/>
    <n v="6"/>
    <n v="4"/>
    <n v="1"/>
    <n v="5"/>
    <n v="0"/>
    <x v="0"/>
  </r>
  <r>
    <n v="35"/>
    <x v="1"/>
    <s v="Travel_Rarely"/>
    <n v="982"/>
    <x v="1"/>
    <n v="1"/>
    <x v="2"/>
    <x v="2"/>
    <n v="1"/>
    <n v="1172"/>
    <n v="4"/>
    <x v="1"/>
    <n v="58"/>
    <n v="2"/>
    <n v="1"/>
    <x v="2"/>
    <n v="3"/>
    <x v="1"/>
    <n v="2258"/>
    <n v="16340"/>
    <n v="6"/>
    <s v="Y"/>
    <s v="No"/>
    <n v="12"/>
    <n v="3"/>
    <n v="2"/>
    <n v="80"/>
    <n v="1"/>
    <n v="10"/>
    <n v="2"/>
    <n v="3"/>
    <n v="8"/>
    <n v="0"/>
    <n v="1"/>
    <n v="7"/>
    <n v="0"/>
    <x v="0"/>
  </r>
  <r>
    <n v="24"/>
    <x v="1"/>
    <s v="Travel_Rarely"/>
    <n v="477"/>
    <x v="1"/>
    <n v="24"/>
    <x v="3"/>
    <x v="2"/>
    <n v="1"/>
    <n v="1173"/>
    <n v="4"/>
    <x v="1"/>
    <n v="49"/>
    <n v="3"/>
    <n v="1"/>
    <x v="2"/>
    <n v="2"/>
    <x v="0"/>
    <n v="3597"/>
    <n v="6409"/>
    <n v="8"/>
    <s v="Y"/>
    <s v="No"/>
    <n v="22"/>
    <n v="4"/>
    <n v="4"/>
    <n v="80"/>
    <n v="0"/>
    <n v="6"/>
    <n v="2"/>
    <n v="3"/>
    <n v="4"/>
    <n v="3"/>
    <n v="1"/>
    <n v="2"/>
    <n v="0"/>
    <x v="4"/>
  </r>
  <r>
    <n v="28"/>
    <x v="0"/>
    <s v="Travel_Rarely"/>
    <n v="1485"/>
    <x v="1"/>
    <n v="12"/>
    <x v="1"/>
    <x v="0"/>
    <n v="1"/>
    <n v="1175"/>
    <n v="3"/>
    <x v="0"/>
    <n v="79"/>
    <n v="3"/>
    <n v="1"/>
    <x v="2"/>
    <n v="4"/>
    <x v="1"/>
    <n v="2515"/>
    <n v="22955"/>
    <n v="1"/>
    <s v="Y"/>
    <s v="Yes"/>
    <n v="11"/>
    <n v="3"/>
    <n v="4"/>
    <n v="80"/>
    <n v="0"/>
    <n v="1"/>
    <n v="4"/>
    <n v="2"/>
    <n v="1"/>
    <n v="1"/>
    <n v="0"/>
    <n v="0"/>
    <n v="1"/>
    <x v="2"/>
  </r>
  <r>
    <n v="26"/>
    <x v="1"/>
    <s v="Travel_Rarely"/>
    <n v="1384"/>
    <x v="1"/>
    <n v="3"/>
    <x v="2"/>
    <x v="2"/>
    <n v="1"/>
    <n v="1177"/>
    <n v="1"/>
    <x v="1"/>
    <n v="82"/>
    <n v="4"/>
    <n v="1"/>
    <x v="2"/>
    <n v="4"/>
    <x v="1"/>
    <n v="4420"/>
    <n v="13421"/>
    <n v="1"/>
    <s v="Y"/>
    <s v="No"/>
    <n v="22"/>
    <n v="4"/>
    <n v="2"/>
    <n v="80"/>
    <n v="1"/>
    <n v="8"/>
    <n v="2"/>
    <n v="3"/>
    <n v="8"/>
    <n v="7"/>
    <n v="0"/>
    <n v="7"/>
    <n v="0"/>
    <x v="2"/>
  </r>
  <r>
    <n v="30"/>
    <x v="1"/>
    <s v="Travel_Rarely"/>
    <n v="852"/>
    <x v="0"/>
    <n v="10"/>
    <x v="3"/>
    <x v="3"/>
    <n v="1"/>
    <n v="1179"/>
    <n v="3"/>
    <x v="1"/>
    <n v="72"/>
    <n v="2"/>
    <n v="2"/>
    <x v="0"/>
    <n v="3"/>
    <x v="1"/>
    <n v="6578"/>
    <n v="2706"/>
    <n v="1"/>
    <s v="Y"/>
    <s v="No"/>
    <n v="18"/>
    <n v="3"/>
    <n v="1"/>
    <n v="80"/>
    <n v="1"/>
    <n v="10"/>
    <n v="3"/>
    <n v="3"/>
    <n v="10"/>
    <n v="3"/>
    <n v="1"/>
    <n v="4"/>
    <n v="0"/>
    <x v="2"/>
  </r>
  <r>
    <n v="40"/>
    <x v="1"/>
    <s v="Travel_Frequently"/>
    <n v="902"/>
    <x v="1"/>
    <n v="26"/>
    <x v="0"/>
    <x v="2"/>
    <n v="1"/>
    <n v="1180"/>
    <n v="3"/>
    <x v="0"/>
    <n v="92"/>
    <n v="2"/>
    <n v="2"/>
    <x v="1"/>
    <n v="4"/>
    <x v="1"/>
    <n v="4422"/>
    <n v="21203"/>
    <n v="3"/>
    <s v="Y"/>
    <s v="Yes"/>
    <n v="13"/>
    <n v="3"/>
    <n v="4"/>
    <n v="80"/>
    <n v="1"/>
    <n v="16"/>
    <n v="3"/>
    <n v="1"/>
    <n v="1"/>
    <n v="1"/>
    <n v="0"/>
    <n v="0"/>
    <n v="0"/>
    <x v="0"/>
  </r>
  <r>
    <n v="35"/>
    <x v="1"/>
    <s v="Travel_Rarely"/>
    <n v="819"/>
    <x v="1"/>
    <n v="2"/>
    <x v="3"/>
    <x v="0"/>
    <n v="1"/>
    <n v="1182"/>
    <n v="3"/>
    <x v="1"/>
    <n v="44"/>
    <n v="2"/>
    <n v="3"/>
    <x v="3"/>
    <n v="2"/>
    <x v="2"/>
    <n v="10274"/>
    <n v="19588"/>
    <n v="2"/>
    <s v="Y"/>
    <s v="No"/>
    <n v="18"/>
    <n v="3"/>
    <n v="2"/>
    <n v="80"/>
    <n v="1"/>
    <n v="15"/>
    <n v="2"/>
    <n v="4"/>
    <n v="7"/>
    <n v="7"/>
    <n v="6"/>
    <n v="4"/>
    <n v="0"/>
    <x v="0"/>
  </r>
  <r>
    <n v="34"/>
    <x v="1"/>
    <s v="Travel_Frequently"/>
    <n v="669"/>
    <x v="1"/>
    <n v="1"/>
    <x v="3"/>
    <x v="2"/>
    <n v="1"/>
    <n v="1184"/>
    <n v="4"/>
    <x v="1"/>
    <n v="97"/>
    <n v="2"/>
    <n v="2"/>
    <x v="4"/>
    <n v="1"/>
    <x v="0"/>
    <n v="5343"/>
    <n v="25755"/>
    <n v="0"/>
    <s v="Y"/>
    <s v="No"/>
    <n v="20"/>
    <n v="4"/>
    <n v="3"/>
    <n v="80"/>
    <n v="0"/>
    <n v="14"/>
    <n v="3"/>
    <n v="3"/>
    <n v="13"/>
    <n v="9"/>
    <n v="4"/>
    <n v="9"/>
    <n v="0"/>
    <x v="2"/>
  </r>
  <r>
    <n v="35"/>
    <x v="1"/>
    <s v="Travel_Frequently"/>
    <n v="636"/>
    <x v="1"/>
    <n v="4"/>
    <x v="2"/>
    <x v="1"/>
    <n v="1"/>
    <n v="1185"/>
    <n v="4"/>
    <x v="1"/>
    <n v="47"/>
    <n v="2"/>
    <n v="1"/>
    <x v="2"/>
    <n v="4"/>
    <x v="1"/>
    <n v="2376"/>
    <n v="26537"/>
    <n v="1"/>
    <s v="Y"/>
    <s v="No"/>
    <n v="13"/>
    <n v="3"/>
    <n v="2"/>
    <n v="80"/>
    <n v="1"/>
    <n v="2"/>
    <n v="2"/>
    <n v="4"/>
    <n v="2"/>
    <n v="2"/>
    <n v="2"/>
    <n v="2"/>
    <n v="0"/>
    <x v="0"/>
  </r>
  <r>
    <n v="43"/>
    <x v="0"/>
    <s v="Travel_Rarely"/>
    <n v="1372"/>
    <x v="0"/>
    <n v="9"/>
    <x v="3"/>
    <x v="3"/>
    <n v="1"/>
    <n v="1188"/>
    <n v="1"/>
    <x v="0"/>
    <n v="85"/>
    <n v="1"/>
    <n v="2"/>
    <x v="0"/>
    <n v="3"/>
    <x v="0"/>
    <n v="5346"/>
    <n v="9489"/>
    <n v="8"/>
    <s v="Y"/>
    <s v="No"/>
    <n v="13"/>
    <n v="3"/>
    <n v="2"/>
    <n v="80"/>
    <n v="0"/>
    <n v="7"/>
    <n v="2"/>
    <n v="2"/>
    <n v="4"/>
    <n v="3"/>
    <n v="1"/>
    <n v="3"/>
    <n v="1"/>
    <x v="0"/>
  </r>
  <r>
    <n v="32"/>
    <x v="1"/>
    <s v="Non-Travel"/>
    <n v="862"/>
    <x v="0"/>
    <n v="2"/>
    <x v="1"/>
    <x v="0"/>
    <n v="1"/>
    <n v="1190"/>
    <n v="3"/>
    <x v="0"/>
    <n v="76"/>
    <n v="3"/>
    <n v="1"/>
    <x v="6"/>
    <n v="1"/>
    <x v="2"/>
    <n v="2827"/>
    <n v="14947"/>
    <n v="1"/>
    <s v="Y"/>
    <s v="No"/>
    <n v="12"/>
    <n v="3"/>
    <n v="3"/>
    <n v="80"/>
    <n v="3"/>
    <n v="1"/>
    <n v="3"/>
    <n v="3"/>
    <n v="1"/>
    <n v="0"/>
    <n v="0"/>
    <n v="0"/>
    <n v="0"/>
    <x v="2"/>
  </r>
  <r>
    <n v="56"/>
    <x v="1"/>
    <s v="Travel_Rarely"/>
    <n v="718"/>
    <x v="1"/>
    <n v="4"/>
    <x v="2"/>
    <x v="4"/>
    <n v="1"/>
    <n v="1191"/>
    <n v="4"/>
    <x v="0"/>
    <n v="92"/>
    <n v="3"/>
    <n v="5"/>
    <x v="5"/>
    <n v="1"/>
    <x v="2"/>
    <n v="19943"/>
    <n v="18575"/>
    <n v="4"/>
    <s v="Y"/>
    <s v="No"/>
    <n v="13"/>
    <n v="3"/>
    <n v="4"/>
    <n v="80"/>
    <n v="1"/>
    <n v="28"/>
    <n v="2"/>
    <n v="3"/>
    <n v="5"/>
    <n v="2"/>
    <n v="4"/>
    <n v="2"/>
    <n v="0"/>
    <x v="3"/>
  </r>
  <r>
    <n v="29"/>
    <x v="1"/>
    <s v="Travel_Rarely"/>
    <n v="1401"/>
    <x v="1"/>
    <n v="6"/>
    <x v="1"/>
    <x v="2"/>
    <n v="1"/>
    <n v="1192"/>
    <n v="2"/>
    <x v="0"/>
    <n v="54"/>
    <n v="3"/>
    <n v="1"/>
    <x v="2"/>
    <n v="4"/>
    <x v="1"/>
    <n v="3131"/>
    <n v="26342"/>
    <n v="1"/>
    <s v="Y"/>
    <s v="No"/>
    <n v="13"/>
    <n v="3"/>
    <n v="1"/>
    <n v="80"/>
    <n v="1"/>
    <n v="10"/>
    <n v="5"/>
    <n v="3"/>
    <n v="10"/>
    <n v="8"/>
    <n v="0"/>
    <n v="8"/>
    <n v="0"/>
    <x v="2"/>
  </r>
  <r>
    <n v="19"/>
    <x v="1"/>
    <s v="Travel_Rarely"/>
    <n v="645"/>
    <x v="1"/>
    <n v="9"/>
    <x v="0"/>
    <x v="0"/>
    <n v="1"/>
    <n v="1193"/>
    <n v="3"/>
    <x v="1"/>
    <n v="54"/>
    <n v="3"/>
    <n v="1"/>
    <x v="1"/>
    <n v="1"/>
    <x v="0"/>
    <n v="2552"/>
    <n v="7172"/>
    <n v="1"/>
    <s v="Y"/>
    <s v="No"/>
    <n v="25"/>
    <n v="4"/>
    <n v="3"/>
    <n v="80"/>
    <n v="0"/>
    <n v="1"/>
    <n v="4"/>
    <n v="3"/>
    <n v="1"/>
    <n v="1"/>
    <n v="0"/>
    <n v="0"/>
    <n v="0"/>
    <x v="4"/>
  </r>
  <r>
    <n v="45"/>
    <x v="1"/>
    <s v="Travel_Rarely"/>
    <n v="1457"/>
    <x v="1"/>
    <n v="7"/>
    <x v="3"/>
    <x v="2"/>
    <n v="1"/>
    <n v="1195"/>
    <n v="1"/>
    <x v="0"/>
    <n v="83"/>
    <n v="3"/>
    <n v="1"/>
    <x v="1"/>
    <n v="3"/>
    <x v="1"/>
    <n v="4477"/>
    <n v="20100"/>
    <n v="4"/>
    <s v="Y"/>
    <s v="Yes"/>
    <n v="19"/>
    <n v="3"/>
    <n v="3"/>
    <n v="80"/>
    <n v="1"/>
    <n v="7"/>
    <n v="2"/>
    <n v="2"/>
    <n v="3"/>
    <n v="2"/>
    <n v="0"/>
    <n v="2"/>
    <n v="0"/>
    <x v="1"/>
  </r>
  <r>
    <n v="37"/>
    <x v="1"/>
    <s v="Travel_Rarely"/>
    <n v="977"/>
    <x v="1"/>
    <n v="1"/>
    <x v="3"/>
    <x v="0"/>
    <n v="1"/>
    <n v="1196"/>
    <n v="4"/>
    <x v="0"/>
    <n v="56"/>
    <n v="2"/>
    <n v="2"/>
    <x v="3"/>
    <n v="4"/>
    <x v="1"/>
    <n v="6474"/>
    <n v="9961"/>
    <n v="1"/>
    <s v="Y"/>
    <s v="No"/>
    <n v="13"/>
    <n v="3"/>
    <n v="2"/>
    <n v="80"/>
    <n v="1"/>
    <n v="14"/>
    <n v="2"/>
    <n v="2"/>
    <n v="14"/>
    <n v="8"/>
    <n v="3"/>
    <n v="11"/>
    <n v="0"/>
    <x v="0"/>
  </r>
  <r>
    <n v="20"/>
    <x v="1"/>
    <s v="Travel_Rarely"/>
    <n v="805"/>
    <x v="1"/>
    <n v="3"/>
    <x v="3"/>
    <x v="0"/>
    <n v="1"/>
    <n v="1198"/>
    <n v="1"/>
    <x v="1"/>
    <n v="87"/>
    <n v="2"/>
    <n v="1"/>
    <x v="2"/>
    <n v="3"/>
    <x v="0"/>
    <n v="3033"/>
    <n v="12828"/>
    <n v="1"/>
    <s v="Y"/>
    <s v="No"/>
    <n v="12"/>
    <n v="3"/>
    <n v="1"/>
    <n v="80"/>
    <n v="0"/>
    <n v="2"/>
    <n v="2"/>
    <n v="2"/>
    <n v="2"/>
    <n v="2"/>
    <n v="1"/>
    <n v="2"/>
    <n v="0"/>
    <x v="4"/>
  </r>
  <r>
    <n v="44"/>
    <x v="0"/>
    <s v="Travel_Rarely"/>
    <n v="1097"/>
    <x v="1"/>
    <n v="10"/>
    <x v="2"/>
    <x v="0"/>
    <n v="1"/>
    <n v="1200"/>
    <n v="3"/>
    <x v="1"/>
    <n v="96"/>
    <n v="3"/>
    <n v="1"/>
    <x v="1"/>
    <n v="3"/>
    <x v="0"/>
    <n v="2936"/>
    <n v="10826"/>
    <n v="1"/>
    <s v="Y"/>
    <s v="Yes"/>
    <n v="11"/>
    <n v="3"/>
    <n v="3"/>
    <n v="80"/>
    <n v="0"/>
    <n v="6"/>
    <n v="4"/>
    <n v="3"/>
    <n v="6"/>
    <n v="4"/>
    <n v="0"/>
    <n v="2"/>
    <n v="1"/>
    <x v="0"/>
  </r>
  <r>
    <n v="53"/>
    <x v="1"/>
    <s v="Travel_Rarely"/>
    <n v="1223"/>
    <x v="1"/>
    <n v="7"/>
    <x v="0"/>
    <x v="2"/>
    <n v="1"/>
    <n v="1201"/>
    <n v="4"/>
    <x v="0"/>
    <n v="50"/>
    <n v="3"/>
    <n v="5"/>
    <x v="5"/>
    <n v="3"/>
    <x v="2"/>
    <n v="18606"/>
    <n v="18640"/>
    <n v="3"/>
    <s v="Y"/>
    <s v="No"/>
    <n v="18"/>
    <n v="3"/>
    <n v="2"/>
    <n v="80"/>
    <n v="1"/>
    <n v="26"/>
    <n v="6"/>
    <n v="3"/>
    <n v="7"/>
    <n v="7"/>
    <n v="4"/>
    <n v="7"/>
    <n v="0"/>
    <x v="1"/>
  </r>
  <r>
    <n v="29"/>
    <x v="1"/>
    <s v="Travel_Rarely"/>
    <n v="942"/>
    <x v="1"/>
    <n v="15"/>
    <x v="1"/>
    <x v="0"/>
    <n v="1"/>
    <n v="1202"/>
    <n v="2"/>
    <x v="0"/>
    <n v="69"/>
    <n v="1"/>
    <n v="1"/>
    <x v="1"/>
    <n v="4"/>
    <x v="1"/>
    <n v="2168"/>
    <n v="26933"/>
    <n v="0"/>
    <s v="Y"/>
    <s v="Yes"/>
    <n v="18"/>
    <n v="3"/>
    <n v="1"/>
    <n v="80"/>
    <n v="1"/>
    <n v="6"/>
    <n v="2"/>
    <n v="2"/>
    <n v="5"/>
    <n v="4"/>
    <n v="1"/>
    <n v="3"/>
    <n v="0"/>
    <x v="2"/>
  </r>
  <r>
    <n v="22"/>
    <x v="0"/>
    <s v="Travel_Frequently"/>
    <n v="1256"/>
    <x v="1"/>
    <n v="3"/>
    <x v="2"/>
    <x v="0"/>
    <n v="1"/>
    <n v="1203"/>
    <n v="3"/>
    <x v="1"/>
    <n v="48"/>
    <n v="2"/>
    <n v="1"/>
    <x v="1"/>
    <n v="4"/>
    <x v="1"/>
    <n v="2853"/>
    <n v="4223"/>
    <n v="0"/>
    <s v="Y"/>
    <s v="Yes"/>
    <n v="11"/>
    <n v="3"/>
    <n v="2"/>
    <n v="80"/>
    <n v="1"/>
    <n v="1"/>
    <n v="5"/>
    <n v="3"/>
    <n v="0"/>
    <n v="0"/>
    <n v="0"/>
    <n v="0"/>
    <n v="1"/>
    <x v="4"/>
  </r>
  <r>
    <n v="46"/>
    <x v="1"/>
    <s v="Travel_Rarely"/>
    <n v="1402"/>
    <x v="0"/>
    <n v="2"/>
    <x v="3"/>
    <x v="3"/>
    <n v="1"/>
    <n v="1204"/>
    <n v="3"/>
    <x v="0"/>
    <n v="69"/>
    <n v="3"/>
    <n v="4"/>
    <x v="5"/>
    <n v="1"/>
    <x v="1"/>
    <n v="17048"/>
    <n v="24097"/>
    <n v="8"/>
    <s v="Y"/>
    <s v="No"/>
    <n v="23"/>
    <n v="4"/>
    <n v="1"/>
    <n v="80"/>
    <n v="0"/>
    <n v="28"/>
    <n v="2"/>
    <n v="3"/>
    <n v="26"/>
    <n v="15"/>
    <n v="15"/>
    <n v="9"/>
    <n v="0"/>
    <x v="1"/>
  </r>
  <r>
    <n v="44"/>
    <x v="1"/>
    <s v="Non-Travel"/>
    <n v="111"/>
    <x v="1"/>
    <n v="17"/>
    <x v="3"/>
    <x v="0"/>
    <n v="1"/>
    <n v="1206"/>
    <n v="4"/>
    <x v="1"/>
    <n v="74"/>
    <n v="1"/>
    <n v="1"/>
    <x v="1"/>
    <n v="3"/>
    <x v="0"/>
    <n v="2290"/>
    <n v="4279"/>
    <n v="2"/>
    <s v="Y"/>
    <s v="No"/>
    <n v="13"/>
    <n v="3"/>
    <n v="4"/>
    <n v="80"/>
    <n v="0"/>
    <n v="6"/>
    <n v="3"/>
    <n v="3"/>
    <n v="0"/>
    <n v="0"/>
    <n v="0"/>
    <n v="0"/>
    <n v="0"/>
    <x v="0"/>
  </r>
  <r>
    <n v="33"/>
    <x v="1"/>
    <s v="Travel_Rarely"/>
    <n v="147"/>
    <x v="2"/>
    <n v="2"/>
    <x v="3"/>
    <x v="5"/>
    <n v="1"/>
    <n v="1207"/>
    <n v="2"/>
    <x v="1"/>
    <n v="99"/>
    <n v="3"/>
    <n v="1"/>
    <x v="8"/>
    <n v="3"/>
    <x v="1"/>
    <n v="3600"/>
    <n v="8429"/>
    <n v="1"/>
    <s v="Y"/>
    <s v="No"/>
    <n v="13"/>
    <n v="3"/>
    <n v="4"/>
    <n v="80"/>
    <n v="1"/>
    <n v="5"/>
    <n v="2"/>
    <n v="3"/>
    <n v="5"/>
    <n v="4"/>
    <n v="1"/>
    <n v="4"/>
    <n v="0"/>
    <x v="2"/>
  </r>
  <r>
    <n v="41"/>
    <x v="0"/>
    <s v="Non-Travel"/>
    <n v="906"/>
    <x v="1"/>
    <n v="5"/>
    <x v="0"/>
    <x v="0"/>
    <n v="1"/>
    <n v="1210"/>
    <n v="1"/>
    <x v="1"/>
    <n v="95"/>
    <n v="2"/>
    <n v="1"/>
    <x v="1"/>
    <n v="1"/>
    <x v="2"/>
    <n v="2107"/>
    <n v="20293"/>
    <n v="6"/>
    <s v="Y"/>
    <s v="No"/>
    <n v="17"/>
    <n v="3"/>
    <n v="1"/>
    <n v="80"/>
    <n v="1"/>
    <n v="5"/>
    <n v="2"/>
    <n v="1"/>
    <n v="1"/>
    <n v="0"/>
    <n v="0"/>
    <n v="0"/>
    <n v="1"/>
    <x v="0"/>
  </r>
  <r>
    <n v="30"/>
    <x v="1"/>
    <s v="Travel_Rarely"/>
    <n v="1329"/>
    <x v="0"/>
    <n v="29"/>
    <x v="2"/>
    <x v="0"/>
    <n v="1"/>
    <n v="1211"/>
    <n v="3"/>
    <x v="1"/>
    <n v="61"/>
    <n v="3"/>
    <n v="2"/>
    <x v="0"/>
    <n v="1"/>
    <x v="2"/>
    <n v="4115"/>
    <n v="13192"/>
    <n v="8"/>
    <s v="Y"/>
    <s v="No"/>
    <n v="19"/>
    <n v="3"/>
    <n v="3"/>
    <n v="80"/>
    <n v="3"/>
    <n v="8"/>
    <n v="3"/>
    <n v="3"/>
    <n v="4"/>
    <n v="3"/>
    <n v="0"/>
    <n v="3"/>
    <n v="0"/>
    <x v="2"/>
  </r>
  <r>
    <n v="40"/>
    <x v="1"/>
    <s v="Travel_Frequently"/>
    <n v="1184"/>
    <x v="0"/>
    <n v="2"/>
    <x v="2"/>
    <x v="2"/>
    <n v="1"/>
    <n v="1212"/>
    <n v="2"/>
    <x v="1"/>
    <n v="62"/>
    <n v="3"/>
    <n v="2"/>
    <x v="0"/>
    <n v="2"/>
    <x v="1"/>
    <n v="4327"/>
    <n v="25440"/>
    <n v="5"/>
    <s v="Y"/>
    <s v="No"/>
    <n v="12"/>
    <n v="3"/>
    <n v="4"/>
    <n v="80"/>
    <n v="3"/>
    <n v="5"/>
    <n v="2"/>
    <n v="3"/>
    <n v="0"/>
    <n v="0"/>
    <n v="0"/>
    <n v="0"/>
    <n v="0"/>
    <x v="0"/>
  </r>
  <r>
    <n v="50"/>
    <x v="1"/>
    <s v="Travel_Frequently"/>
    <n v="1421"/>
    <x v="1"/>
    <n v="2"/>
    <x v="3"/>
    <x v="2"/>
    <n v="1"/>
    <n v="1215"/>
    <n v="4"/>
    <x v="0"/>
    <n v="30"/>
    <n v="3"/>
    <n v="4"/>
    <x v="5"/>
    <n v="1"/>
    <x v="1"/>
    <n v="17856"/>
    <n v="9490"/>
    <n v="2"/>
    <s v="Y"/>
    <s v="No"/>
    <n v="22"/>
    <n v="4"/>
    <n v="3"/>
    <n v="80"/>
    <n v="1"/>
    <n v="32"/>
    <n v="3"/>
    <n v="3"/>
    <n v="2"/>
    <n v="2"/>
    <n v="2"/>
    <n v="2"/>
    <n v="0"/>
    <x v="1"/>
  </r>
  <r>
    <n v="28"/>
    <x v="1"/>
    <s v="Travel_Rarely"/>
    <n v="1179"/>
    <x v="1"/>
    <n v="19"/>
    <x v="2"/>
    <x v="2"/>
    <n v="1"/>
    <n v="1216"/>
    <n v="4"/>
    <x v="1"/>
    <n v="78"/>
    <n v="2"/>
    <n v="1"/>
    <x v="2"/>
    <n v="1"/>
    <x v="1"/>
    <n v="3196"/>
    <n v="12449"/>
    <n v="1"/>
    <s v="Y"/>
    <s v="No"/>
    <n v="12"/>
    <n v="3"/>
    <n v="3"/>
    <n v="80"/>
    <n v="3"/>
    <n v="6"/>
    <n v="2"/>
    <n v="3"/>
    <n v="6"/>
    <n v="5"/>
    <n v="3"/>
    <n v="3"/>
    <n v="0"/>
    <x v="2"/>
  </r>
  <r>
    <n v="46"/>
    <x v="1"/>
    <s v="Travel_Rarely"/>
    <n v="1450"/>
    <x v="1"/>
    <n v="15"/>
    <x v="0"/>
    <x v="0"/>
    <n v="1"/>
    <n v="1217"/>
    <n v="4"/>
    <x v="1"/>
    <n v="52"/>
    <n v="3"/>
    <n v="5"/>
    <x v="7"/>
    <n v="2"/>
    <x v="1"/>
    <n v="19081"/>
    <n v="10849"/>
    <n v="5"/>
    <s v="Y"/>
    <s v="No"/>
    <n v="11"/>
    <n v="3"/>
    <n v="1"/>
    <n v="80"/>
    <n v="1"/>
    <n v="25"/>
    <n v="2"/>
    <n v="3"/>
    <n v="4"/>
    <n v="2"/>
    <n v="0"/>
    <n v="3"/>
    <n v="0"/>
    <x v="1"/>
  </r>
  <r>
    <n v="35"/>
    <x v="1"/>
    <s v="Travel_Rarely"/>
    <n v="1361"/>
    <x v="0"/>
    <n v="17"/>
    <x v="2"/>
    <x v="0"/>
    <n v="1"/>
    <n v="1218"/>
    <n v="3"/>
    <x v="1"/>
    <n v="94"/>
    <n v="3"/>
    <n v="2"/>
    <x v="0"/>
    <n v="1"/>
    <x v="1"/>
    <n v="8966"/>
    <n v="21026"/>
    <n v="3"/>
    <s v="Y"/>
    <s v="Yes"/>
    <n v="15"/>
    <n v="3"/>
    <n v="4"/>
    <n v="80"/>
    <n v="3"/>
    <n v="15"/>
    <n v="2"/>
    <n v="3"/>
    <n v="7"/>
    <n v="7"/>
    <n v="1"/>
    <n v="7"/>
    <n v="0"/>
    <x v="0"/>
  </r>
  <r>
    <n v="24"/>
    <x v="0"/>
    <s v="Travel_Rarely"/>
    <n v="984"/>
    <x v="1"/>
    <n v="17"/>
    <x v="0"/>
    <x v="0"/>
    <n v="1"/>
    <n v="1219"/>
    <n v="4"/>
    <x v="0"/>
    <n v="97"/>
    <n v="3"/>
    <n v="1"/>
    <x v="2"/>
    <n v="2"/>
    <x v="1"/>
    <n v="2210"/>
    <n v="3372"/>
    <n v="1"/>
    <s v="Y"/>
    <s v="No"/>
    <n v="13"/>
    <n v="3"/>
    <n v="1"/>
    <n v="80"/>
    <n v="1"/>
    <n v="1"/>
    <n v="3"/>
    <n v="1"/>
    <n v="1"/>
    <n v="0"/>
    <n v="0"/>
    <n v="0"/>
    <n v="1"/>
    <x v="4"/>
  </r>
  <r>
    <n v="33"/>
    <x v="1"/>
    <s v="Travel_Frequently"/>
    <n v="1146"/>
    <x v="0"/>
    <n v="25"/>
    <x v="3"/>
    <x v="2"/>
    <n v="1"/>
    <n v="1220"/>
    <n v="2"/>
    <x v="0"/>
    <n v="82"/>
    <n v="3"/>
    <n v="2"/>
    <x v="0"/>
    <n v="3"/>
    <x v="1"/>
    <n v="4539"/>
    <n v="4905"/>
    <n v="1"/>
    <s v="Y"/>
    <s v="No"/>
    <n v="12"/>
    <n v="3"/>
    <n v="1"/>
    <n v="80"/>
    <n v="1"/>
    <n v="10"/>
    <n v="3"/>
    <n v="2"/>
    <n v="10"/>
    <n v="7"/>
    <n v="0"/>
    <n v="1"/>
    <n v="0"/>
    <x v="2"/>
  </r>
  <r>
    <n v="36"/>
    <x v="1"/>
    <s v="Travel_Rarely"/>
    <n v="917"/>
    <x v="1"/>
    <n v="6"/>
    <x v="2"/>
    <x v="0"/>
    <n v="1"/>
    <n v="1221"/>
    <n v="3"/>
    <x v="1"/>
    <n v="60"/>
    <n v="1"/>
    <n v="1"/>
    <x v="2"/>
    <n v="3"/>
    <x v="2"/>
    <n v="2741"/>
    <n v="6865"/>
    <n v="1"/>
    <s v="Y"/>
    <s v="No"/>
    <n v="14"/>
    <n v="3"/>
    <n v="3"/>
    <n v="80"/>
    <n v="1"/>
    <n v="7"/>
    <n v="4"/>
    <n v="3"/>
    <n v="7"/>
    <n v="7"/>
    <n v="1"/>
    <n v="7"/>
    <n v="0"/>
    <x v="0"/>
  </r>
  <r>
    <n v="30"/>
    <x v="1"/>
    <s v="Travel_Rarely"/>
    <n v="853"/>
    <x v="1"/>
    <n v="7"/>
    <x v="2"/>
    <x v="0"/>
    <n v="1"/>
    <n v="1224"/>
    <n v="3"/>
    <x v="1"/>
    <n v="49"/>
    <n v="3"/>
    <n v="2"/>
    <x v="2"/>
    <n v="3"/>
    <x v="2"/>
    <n v="3491"/>
    <n v="11309"/>
    <n v="1"/>
    <s v="Y"/>
    <s v="No"/>
    <n v="13"/>
    <n v="3"/>
    <n v="1"/>
    <n v="80"/>
    <n v="3"/>
    <n v="10"/>
    <n v="4"/>
    <n v="2"/>
    <n v="10"/>
    <n v="7"/>
    <n v="8"/>
    <n v="9"/>
    <n v="0"/>
    <x v="2"/>
  </r>
  <r>
    <n v="44"/>
    <x v="1"/>
    <s v="Travel_Rarely"/>
    <n v="200"/>
    <x v="1"/>
    <n v="29"/>
    <x v="2"/>
    <x v="1"/>
    <n v="1"/>
    <n v="1225"/>
    <n v="4"/>
    <x v="1"/>
    <n v="32"/>
    <n v="3"/>
    <n v="2"/>
    <x v="1"/>
    <n v="4"/>
    <x v="0"/>
    <n v="4541"/>
    <n v="7744"/>
    <n v="1"/>
    <s v="Y"/>
    <s v="No"/>
    <n v="25"/>
    <n v="4"/>
    <n v="2"/>
    <n v="80"/>
    <n v="0"/>
    <n v="20"/>
    <n v="3"/>
    <n v="3"/>
    <n v="20"/>
    <n v="11"/>
    <n v="13"/>
    <n v="17"/>
    <n v="0"/>
    <x v="0"/>
  </r>
  <r>
    <n v="20"/>
    <x v="1"/>
    <s v="Travel_Rarely"/>
    <n v="654"/>
    <x v="0"/>
    <n v="21"/>
    <x v="3"/>
    <x v="3"/>
    <n v="1"/>
    <n v="1226"/>
    <n v="3"/>
    <x v="1"/>
    <n v="43"/>
    <n v="4"/>
    <n v="1"/>
    <x v="6"/>
    <n v="4"/>
    <x v="0"/>
    <n v="2678"/>
    <n v="5050"/>
    <n v="1"/>
    <s v="Y"/>
    <s v="No"/>
    <n v="17"/>
    <n v="3"/>
    <n v="4"/>
    <n v="80"/>
    <n v="0"/>
    <n v="2"/>
    <n v="2"/>
    <n v="3"/>
    <n v="2"/>
    <n v="1"/>
    <n v="2"/>
    <n v="2"/>
    <n v="0"/>
    <x v="4"/>
  </r>
  <r>
    <n v="46"/>
    <x v="1"/>
    <s v="Travel_Rarely"/>
    <n v="150"/>
    <x v="1"/>
    <n v="2"/>
    <x v="2"/>
    <x v="4"/>
    <n v="1"/>
    <n v="1228"/>
    <n v="4"/>
    <x v="1"/>
    <n v="60"/>
    <n v="3"/>
    <n v="2"/>
    <x v="3"/>
    <n v="4"/>
    <x v="2"/>
    <n v="7379"/>
    <n v="17433"/>
    <n v="2"/>
    <s v="Y"/>
    <s v="No"/>
    <n v="11"/>
    <n v="3"/>
    <n v="3"/>
    <n v="80"/>
    <n v="1"/>
    <n v="12"/>
    <n v="3"/>
    <n v="2"/>
    <n v="6"/>
    <n v="3"/>
    <n v="1"/>
    <n v="4"/>
    <n v="0"/>
    <x v="1"/>
  </r>
  <r>
    <n v="42"/>
    <x v="1"/>
    <s v="Non-Travel"/>
    <n v="179"/>
    <x v="2"/>
    <n v="2"/>
    <x v="4"/>
    <x v="2"/>
    <n v="1"/>
    <n v="1231"/>
    <n v="4"/>
    <x v="1"/>
    <n v="79"/>
    <n v="4"/>
    <n v="2"/>
    <x v="8"/>
    <n v="1"/>
    <x v="1"/>
    <n v="6272"/>
    <n v="12858"/>
    <n v="7"/>
    <s v="Y"/>
    <s v="No"/>
    <n v="16"/>
    <n v="3"/>
    <n v="1"/>
    <n v="80"/>
    <n v="1"/>
    <n v="10"/>
    <n v="3"/>
    <n v="4"/>
    <n v="4"/>
    <n v="3"/>
    <n v="0"/>
    <n v="3"/>
    <n v="0"/>
    <x v="0"/>
  </r>
  <r>
    <n v="60"/>
    <x v="1"/>
    <s v="Travel_Rarely"/>
    <n v="696"/>
    <x v="0"/>
    <n v="7"/>
    <x v="2"/>
    <x v="3"/>
    <n v="1"/>
    <n v="1233"/>
    <n v="2"/>
    <x v="1"/>
    <n v="52"/>
    <n v="4"/>
    <n v="2"/>
    <x v="0"/>
    <n v="4"/>
    <x v="2"/>
    <n v="5220"/>
    <n v="10893"/>
    <n v="0"/>
    <s v="Y"/>
    <s v="Yes"/>
    <n v="18"/>
    <n v="3"/>
    <n v="2"/>
    <n v="80"/>
    <n v="1"/>
    <n v="12"/>
    <n v="3"/>
    <n v="3"/>
    <n v="11"/>
    <n v="7"/>
    <n v="1"/>
    <n v="9"/>
    <n v="0"/>
    <x v="3"/>
  </r>
  <r>
    <n v="32"/>
    <x v="1"/>
    <s v="Travel_Frequently"/>
    <n v="116"/>
    <x v="1"/>
    <n v="13"/>
    <x v="3"/>
    <x v="1"/>
    <n v="1"/>
    <n v="1234"/>
    <n v="3"/>
    <x v="0"/>
    <n v="77"/>
    <n v="2"/>
    <n v="1"/>
    <x v="2"/>
    <n v="2"/>
    <x v="1"/>
    <n v="2743"/>
    <n v="7331"/>
    <n v="1"/>
    <s v="Y"/>
    <s v="No"/>
    <n v="20"/>
    <n v="4"/>
    <n v="3"/>
    <n v="80"/>
    <n v="1"/>
    <n v="2"/>
    <n v="2"/>
    <n v="3"/>
    <n v="2"/>
    <n v="2"/>
    <n v="2"/>
    <n v="2"/>
    <n v="0"/>
    <x v="2"/>
  </r>
  <r>
    <n v="32"/>
    <x v="1"/>
    <s v="Travel_Frequently"/>
    <n v="1316"/>
    <x v="1"/>
    <n v="2"/>
    <x v="0"/>
    <x v="0"/>
    <n v="1"/>
    <n v="1235"/>
    <n v="4"/>
    <x v="0"/>
    <n v="38"/>
    <n v="3"/>
    <n v="2"/>
    <x v="1"/>
    <n v="3"/>
    <x v="0"/>
    <n v="4998"/>
    <n v="2338"/>
    <n v="4"/>
    <s v="Y"/>
    <s v="Yes"/>
    <n v="14"/>
    <n v="3"/>
    <n v="4"/>
    <n v="80"/>
    <n v="0"/>
    <n v="10"/>
    <n v="2"/>
    <n v="3"/>
    <n v="8"/>
    <n v="7"/>
    <n v="0"/>
    <n v="7"/>
    <n v="0"/>
    <x v="2"/>
  </r>
  <r>
    <n v="36"/>
    <x v="1"/>
    <s v="Travel_Rarely"/>
    <n v="363"/>
    <x v="1"/>
    <n v="1"/>
    <x v="3"/>
    <x v="4"/>
    <n v="1"/>
    <n v="1237"/>
    <n v="3"/>
    <x v="0"/>
    <n v="77"/>
    <n v="1"/>
    <n v="3"/>
    <x v="3"/>
    <n v="1"/>
    <x v="2"/>
    <n v="10252"/>
    <n v="4235"/>
    <n v="2"/>
    <s v="Y"/>
    <s v="Yes"/>
    <n v="21"/>
    <n v="4"/>
    <n v="3"/>
    <n v="80"/>
    <n v="1"/>
    <n v="17"/>
    <n v="2"/>
    <n v="3"/>
    <n v="7"/>
    <n v="7"/>
    <n v="7"/>
    <n v="7"/>
    <n v="0"/>
    <x v="0"/>
  </r>
  <r>
    <n v="33"/>
    <x v="1"/>
    <s v="Travel_Rarely"/>
    <n v="117"/>
    <x v="1"/>
    <n v="9"/>
    <x v="3"/>
    <x v="2"/>
    <n v="1"/>
    <n v="1238"/>
    <n v="1"/>
    <x v="1"/>
    <n v="60"/>
    <n v="3"/>
    <n v="1"/>
    <x v="1"/>
    <n v="4"/>
    <x v="1"/>
    <n v="2781"/>
    <n v="6311"/>
    <n v="0"/>
    <s v="Y"/>
    <s v="No"/>
    <n v="13"/>
    <n v="3"/>
    <n v="2"/>
    <n v="80"/>
    <n v="1"/>
    <n v="15"/>
    <n v="5"/>
    <n v="3"/>
    <n v="14"/>
    <n v="10"/>
    <n v="4"/>
    <n v="10"/>
    <n v="0"/>
    <x v="2"/>
  </r>
  <r>
    <n v="40"/>
    <x v="1"/>
    <s v="Travel_Rarely"/>
    <n v="107"/>
    <x v="0"/>
    <n v="10"/>
    <x v="3"/>
    <x v="4"/>
    <n v="1"/>
    <n v="1239"/>
    <n v="2"/>
    <x v="0"/>
    <n v="84"/>
    <n v="2"/>
    <n v="2"/>
    <x v="0"/>
    <n v="2"/>
    <x v="2"/>
    <n v="6852"/>
    <n v="11591"/>
    <n v="7"/>
    <s v="Y"/>
    <s v="No"/>
    <n v="12"/>
    <n v="3"/>
    <n v="2"/>
    <n v="80"/>
    <n v="1"/>
    <n v="7"/>
    <n v="2"/>
    <n v="4"/>
    <n v="5"/>
    <n v="1"/>
    <n v="1"/>
    <n v="3"/>
    <n v="0"/>
    <x v="0"/>
  </r>
  <r>
    <n v="25"/>
    <x v="1"/>
    <s v="Travel_Rarely"/>
    <n v="1356"/>
    <x v="0"/>
    <n v="10"/>
    <x v="2"/>
    <x v="0"/>
    <n v="1"/>
    <n v="1240"/>
    <n v="3"/>
    <x v="1"/>
    <n v="57"/>
    <n v="3"/>
    <n v="2"/>
    <x v="0"/>
    <n v="4"/>
    <x v="0"/>
    <n v="4950"/>
    <n v="20623"/>
    <n v="0"/>
    <s v="Y"/>
    <s v="No"/>
    <n v="14"/>
    <n v="3"/>
    <n v="2"/>
    <n v="80"/>
    <n v="0"/>
    <n v="5"/>
    <n v="4"/>
    <n v="3"/>
    <n v="4"/>
    <n v="3"/>
    <n v="1"/>
    <n v="1"/>
    <n v="0"/>
    <x v="2"/>
  </r>
  <r>
    <n v="30"/>
    <x v="1"/>
    <s v="Travel_Rarely"/>
    <n v="1465"/>
    <x v="1"/>
    <n v="1"/>
    <x v="3"/>
    <x v="2"/>
    <n v="1"/>
    <n v="1241"/>
    <n v="4"/>
    <x v="1"/>
    <n v="63"/>
    <n v="3"/>
    <n v="1"/>
    <x v="1"/>
    <n v="2"/>
    <x v="1"/>
    <n v="3579"/>
    <n v="9369"/>
    <n v="0"/>
    <s v="Y"/>
    <s v="Yes"/>
    <n v="21"/>
    <n v="4"/>
    <n v="1"/>
    <n v="80"/>
    <n v="1"/>
    <n v="12"/>
    <n v="2"/>
    <n v="3"/>
    <n v="11"/>
    <n v="9"/>
    <n v="5"/>
    <n v="7"/>
    <n v="0"/>
    <x v="2"/>
  </r>
  <r>
    <n v="42"/>
    <x v="1"/>
    <s v="Travel_Frequently"/>
    <n v="458"/>
    <x v="1"/>
    <n v="26"/>
    <x v="4"/>
    <x v="2"/>
    <n v="1"/>
    <n v="1242"/>
    <n v="1"/>
    <x v="0"/>
    <n v="60"/>
    <n v="3"/>
    <n v="3"/>
    <x v="7"/>
    <n v="1"/>
    <x v="1"/>
    <n v="13191"/>
    <n v="23281"/>
    <n v="3"/>
    <s v="Y"/>
    <s v="Yes"/>
    <n v="17"/>
    <n v="3"/>
    <n v="3"/>
    <n v="80"/>
    <n v="0"/>
    <n v="20"/>
    <n v="6"/>
    <n v="3"/>
    <n v="1"/>
    <n v="0"/>
    <n v="0"/>
    <n v="0"/>
    <n v="0"/>
    <x v="0"/>
  </r>
  <r>
    <n v="35"/>
    <x v="1"/>
    <s v="Non-Travel"/>
    <n v="1212"/>
    <x v="0"/>
    <n v="8"/>
    <x v="0"/>
    <x v="3"/>
    <n v="1"/>
    <n v="1243"/>
    <n v="3"/>
    <x v="0"/>
    <n v="78"/>
    <n v="2"/>
    <n v="3"/>
    <x v="0"/>
    <n v="4"/>
    <x v="1"/>
    <n v="10377"/>
    <n v="13755"/>
    <n v="4"/>
    <s v="Y"/>
    <s v="Yes"/>
    <n v="11"/>
    <n v="3"/>
    <n v="2"/>
    <n v="80"/>
    <n v="1"/>
    <n v="16"/>
    <n v="6"/>
    <n v="2"/>
    <n v="13"/>
    <n v="2"/>
    <n v="4"/>
    <n v="12"/>
    <n v="0"/>
    <x v="0"/>
  </r>
  <r>
    <n v="27"/>
    <x v="1"/>
    <s v="Travel_Rarely"/>
    <n v="1103"/>
    <x v="1"/>
    <n v="14"/>
    <x v="3"/>
    <x v="0"/>
    <n v="1"/>
    <n v="1244"/>
    <n v="1"/>
    <x v="1"/>
    <n v="42"/>
    <n v="3"/>
    <n v="1"/>
    <x v="1"/>
    <n v="1"/>
    <x v="1"/>
    <n v="2235"/>
    <n v="14377"/>
    <n v="1"/>
    <s v="Y"/>
    <s v="Yes"/>
    <n v="14"/>
    <n v="3"/>
    <n v="4"/>
    <n v="80"/>
    <n v="2"/>
    <n v="9"/>
    <n v="3"/>
    <n v="2"/>
    <n v="9"/>
    <n v="7"/>
    <n v="6"/>
    <n v="8"/>
    <n v="0"/>
    <x v="2"/>
  </r>
  <r>
    <n v="54"/>
    <x v="1"/>
    <s v="Travel_Frequently"/>
    <n v="966"/>
    <x v="1"/>
    <n v="1"/>
    <x v="2"/>
    <x v="0"/>
    <n v="1"/>
    <n v="1245"/>
    <n v="4"/>
    <x v="0"/>
    <n v="53"/>
    <n v="3"/>
    <n v="3"/>
    <x v="3"/>
    <n v="3"/>
    <x v="2"/>
    <n v="10502"/>
    <n v="9659"/>
    <n v="7"/>
    <s v="Y"/>
    <s v="No"/>
    <n v="17"/>
    <n v="3"/>
    <n v="1"/>
    <n v="80"/>
    <n v="1"/>
    <n v="33"/>
    <n v="2"/>
    <n v="1"/>
    <n v="5"/>
    <n v="4"/>
    <n v="1"/>
    <n v="4"/>
    <n v="0"/>
    <x v="1"/>
  </r>
  <r>
    <n v="44"/>
    <x v="1"/>
    <s v="Travel_Rarely"/>
    <n v="1117"/>
    <x v="1"/>
    <n v="2"/>
    <x v="1"/>
    <x v="0"/>
    <n v="1"/>
    <n v="1246"/>
    <n v="1"/>
    <x v="0"/>
    <n v="72"/>
    <n v="4"/>
    <n v="1"/>
    <x v="1"/>
    <n v="4"/>
    <x v="1"/>
    <n v="2011"/>
    <n v="19982"/>
    <n v="1"/>
    <s v="Y"/>
    <s v="No"/>
    <n v="13"/>
    <n v="3"/>
    <n v="4"/>
    <n v="80"/>
    <n v="1"/>
    <n v="10"/>
    <n v="5"/>
    <n v="3"/>
    <n v="10"/>
    <n v="5"/>
    <n v="7"/>
    <n v="7"/>
    <n v="0"/>
    <x v="0"/>
  </r>
  <r>
    <n v="19"/>
    <x v="0"/>
    <s v="Non-Travel"/>
    <n v="504"/>
    <x v="1"/>
    <n v="10"/>
    <x v="3"/>
    <x v="2"/>
    <n v="1"/>
    <n v="1248"/>
    <n v="1"/>
    <x v="0"/>
    <n v="96"/>
    <n v="2"/>
    <n v="1"/>
    <x v="1"/>
    <n v="2"/>
    <x v="0"/>
    <n v="1859"/>
    <n v="6148"/>
    <n v="1"/>
    <s v="Y"/>
    <s v="Yes"/>
    <n v="25"/>
    <n v="4"/>
    <n v="2"/>
    <n v="80"/>
    <n v="0"/>
    <n v="1"/>
    <n v="2"/>
    <n v="4"/>
    <n v="1"/>
    <n v="1"/>
    <n v="0"/>
    <n v="0"/>
    <n v="1"/>
    <x v="4"/>
  </r>
  <r>
    <n v="29"/>
    <x v="1"/>
    <s v="Travel_Rarely"/>
    <n v="1010"/>
    <x v="1"/>
    <n v="1"/>
    <x v="3"/>
    <x v="0"/>
    <n v="1"/>
    <n v="1249"/>
    <n v="1"/>
    <x v="0"/>
    <n v="97"/>
    <n v="3"/>
    <n v="1"/>
    <x v="1"/>
    <n v="4"/>
    <x v="2"/>
    <n v="3760"/>
    <n v="5598"/>
    <n v="1"/>
    <s v="Y"/>
    <s v="No"/>
    <n v="15"/>
    <n v="3"/>
    <n v="1"/>
    <n v="80"/>
    <n v="3"/>
    <n v="3"/>
    <n v="5"/>
    <n v="3"/>
    <n v="3"/>
    <n v="2"/>
    <n v="1"/>
    <n v="2"/>
    <n v="0"/>
    <x v="2"/>
  </r>
  <r>
    <n v="54"/>
    <x v="1"/>
    <s v="Travel_Rarely"/>
    <n v="685"/>
    <x v="1"/>
    <n v="3"/>
    <x v="3"/>
    <x v="0"/>
    <n v="1"/>
    <n v="1250"/>
    <n v="4"/>
    <x v="1"/>
    <n v="85"/>
    <n v="3"/>
    <n v="4"/>
    <x v="7"/>
    <n v="4"/>
    <x v="1"/>
    <n v="17779"/>
    <n v="23474"/>
    <n v="3"/>
    <s v="Y"/>
    <s v="No"/>
    <n v="14"/>
    <n v="3"/>
    <n v="1"/>
    <n v="80"/>
    <n v="0"/>
    <n v="36"/>
    <n v="2"/>
    <n v="3"/>
    <n v="10"/>
    <n v="9"/>
    <n v="0"/>
    <n v="9"/>
    <n v="0"/>
    <x v="1"/>
  </r>
  <r>
    <n v="31"/>
    <x v="1"/>
    <s v="Travel_Rarely"/>
    <n v="1332"/>
    <x v="1"/>
    <n v="11"/>
    <x v="0"/>
    <x v="2"/>
    <n v="1"/>
    <n v="1251"/>
    <n v="3"/>
    <x v="1"/>
    <n v="80"/>
    <n v="3"/>
    <n v="2"/>
    <x v="4"/>
    <n v="1"/>
    <x v="1"/>
    <n v="6833"/>
    <n v="17089"/>
    <n v="1"/>
    <s v="Y"/>
    <s v="Yes"/>
    <n v="12"/>
    <n v="3"/>
    <n v="4"/>
    <n v="80"/>
    <n v="0"/>
    <n v="6"/>
    <n v="2"/>
    <n v="2"/>
    <n v="6"/>
    <n v="5"/>
    <n v="0"/>
    <n v="1"/>
    <n v="0"/>
    <x v="2"/>
  </r>
  <r>
    <n v="31"/>
    <x v="1"/>
    <s v="Travel_Rarely"/>
    <n v="1062"/>
    <x v="1"/>
    <n v="24"/>
    <x v="3"/>
    <x v="2"/>
    <n v="1"/>
    <n v="1252"/>
    <n v="3"/>
    <x v="0"/>
    <n v="96"/>
    <n v="2"/>
    <n v="2"/>
    <x v="4"/>
    <n v="1"/>
    <x v="0"/>
    <n v="6812"/>
    <n v="17198"/>
    <n v="1"/>
    <s v="Y"/>
    <s v="No"/>
    <n v="19"/>
    <n v="3"/>
    <n v="2"/>
    <n v="80"/>
    <n v="0"/>
    <n v="10"/>
    <n v="2"/>
    <n v="3"/>
    <n v="10"/>
    <n v="9"/>
    <n v="1"/>
    <n v="8"/>
    <n v="0"/>
    <x v="2"/>
  </r>
  <r>
    <n v="59"/>
    <x v="1"/>
    <s v="Travel_Rarely"/>
    <n v="326"/>
    <x v="0"/>
    <n v="3"/>
    <x v="3"/>
    <x v="0"/>
    <n v="1"/>
    <n v="1254"/>
    <n v="3"/>
    <x v="0"/>
    <n v="48"/>
    <n v="2"/>
    <n v="2"/>
    <x v="0"/>
    <n v="4"/>
    <x v="0"/>
    <n v="5171"/>
    <n v="16490"/>
    <n v="5"/>
    <s v="Y"/>
    <s v="No"/>
    <n v="17"/>
    <n v="3"/>
    <n v="4"/>
    <n v="80"/>
    <n v="0"/>
    <n v="13"/>
    <n v="2"/>
    <n v="3"/>
    <n v="6"/>
    <n v="1"/>
    <n v="0"/>
    <n v="5"/>
    <n v="0"/>
    <x v="3"/>
  </r>
  <r>
    <n v="43"/>
    <x v="1"/>
    <s v="Travel_Rarely"/>
    <n v="920"/>
    <x v="1"/>
    <n v="3"/>
    <x v="3"/>
    <x v="0"/>
    <n v="1"/>
    <n v="1255"/>
    <n v="3"/>
    <x v="1"/>
    <n v="96"/>
    <n v="1"/>
    <n v="5"/>
    <x v="7"/>
    <n v="4"/>
    <x v="1"/>
    <n v="19740"/>
    <n v="18625"/>
    <n v="3"/>
    <s v="Y"/>
    <s v="No"/>
    <n v="14"/>
    <n v="3"/>
    <n v="2"/>
    <n v="80"/>
    <n v="1"/>
    <n v="25"/>
    <n v="2"/>
    <n v="3"/>
    <n v="8"/>
    <n v="7"/>
    <n v="0"/>
    <n v="7"/>
    <n v="0"/>
    <x v="0"/>
  </r>
  <r>
    <n v="49"/>
    <x v="1"/>
    <s v="Travel_Rarely"/>
    <n v="1098"/>
    <x v="1"/>
    <n v="4"/>
    <x v="0"/>
    <x v="2"/>
    <n v="1"/>
    <n v="1256"/>
    <n v="1"/>
    <x v="1"/>
    <n v="85"/>
    <n v="2"/>
    <n v="5"/>
    <x v="5"/>
    <n v="3"/>
    <x v="1"/>
    <n v="18711"/>
    <n v="12124"/>
    <n v="2"/>
    <s v="Y"/>
    <s v="No"/>
    <n v="13"/>
    <n v="3"/>
    <n v="3"/>
    <n v="80"/>
    <n v="1"/>
    <n v="23"/>
    <n v="2"/>
    <n v="4"/>
    <n v="1"/>
    <n v="0"/>
    <n v="0"/>
    <n v="0"/>
    <n v="0"/>
    <x v="1"/>
  </r>
  <r>
    <n v="36"/>
    <x v="1"/>
    <s v="Travel_Frequently"/>
    <n v="469"/>
    <x v="1"/>
    <n v="3"/>
    <x v="3"/>
    <x v="4"/>
    <n v="1"/>
    <n v="1257"/>
    <n v="3"/>
    <x v="1"/>
    <n v="46"/>
    <n v="3"/>
    <n v="1"/>
    <x v="1"/>
    <n v="2"/>
    <x v="1"/>
    <n v="3692"/>
    <n v="9256"/>
    <n v="1"/>
    <s v="Y"/>
    <s v="No"/>
    <n v="12"/>
    <n v="3"/>
    <n v="3"/>
    <n v="80"/>
    <n v="0"/>
    <n v="12"/>
    <n v="2"/>
    <n v="2"/>
    <n v="11"/>
    <n v="10"/>
    <n v="0"/>
    <n v="7"/>
    <n v="0"/>
    <x v="0"/>
  </r>
  <r>
    <n v="48"/>
    <x v="1"/>
    <s v="Travel_Rarely"/>
    <n v="969"/>
    <x v="1"/>
    <n v="2"/>
    <x v="0"/>
    <x v="4"/>
    <n v="1"/>
    <n v="1258"/>
    <n v="4"/>
    <x v="1"/>
    <n v="76"/>
    <n v="4"/>
    <n v="1"/>
    <x v="2"/>
    <n v="2"/>
    <x v="0"/>
    <n v="2559"/>
    <n v="16620"/>
    <n v="5"/>
    <s v="Y"/>
    <s v="No"/>
    <n v="11"/>
    <n v="3"/>
    <n v="3"/>
    <n v="80"/>
    <n v="0"/>
    <n v="7"/>
    <n v="4"/>
    <n v="2"/>
    <n v="1"/>
    <n v="0"/>
    <n v="0"/>
    <n v="0"/>
    <n v="0"/>
    <x v="1"/>
  </r>
  <r>
    <n v="27"/>
    <x v="1"/>
    <s v="Travel_Rarely"/>
    <n v="1167"/>
    <x v="1"/>
    <n v="4"/>
    <x v="0"/>
    <x v="0"/>
    <n v="1"/>
    <n v="1259"/>
    <n v="1"/>
    <x v="1"/>
    <n v="76"/>
    <n v="3"/>
    <n v="1"/>
    <x v="1"/>
    <n v="3"/>
    <x v="2"/>
    <n v="2517"/>
    <n v="3208"/>
    <n v="1"/>
    <s v="Y"/>
    <s v="No"/>
    <n v="11"/>
    <n v="3"/>
    <n v="2"/>
    <n v="80"/>
    <n v="3"/>
    <n v="5"/>
    <n v="2"/>
    <n v="3"/>
    <n v="5"/>
    <n v="3"/>
    <n v="0"/>
    <n v="3"/>
    <n v="0"/>
    <x v="2"/>
  </r>
  <r>
    <n v="29"/>
    <x v="1"/>
    <s v="Travel_Rarely"/>
    <n v="1329"/>
    <x v="1"/>
    <n v="7"/>
    <x v="3"/>
    <x v="0"/>
    <n v="1"/>
    <n v="1260"/>
    <n v="3"/>
    <x v="1"/>
    <n v="82"/>
    <n v="3"/>
    <n v="2"/>
    <x v="4"/>
    <n v="4"/>
    <x v="2"/>
    <n v="6623"/>
    <n v="4204"/>
    <n v="1"/>
    <s v="Y"/>
    <s v="Yes"/>
    <n v="11"/>
    <n v="3"/>
    <n v="2"/>
    <n v="80"/>
    <n v="2"/>
    <n v="6"/>
    <n v="2"/>
    <n v="3"/>
    <n v="6"/>
    <n v="0"/>
    <n v="1"/>
    <n v="0"/>
    <n v="0"/>
    <x v="2"/>
  </r>
  <r>
    <n v="48"/>
    <x v="1"/>
    <s v="Travel_Rarely"/>
    <n v="715"/>
    <x v="1"/>
    <n v="1"/>
    <x v="3"/>
    <x v="0"/>
    <n v="1"/>
    <n v="1263"/>
    <n v="4"/>
    <x v="1"/>
    <n v="76"/>
    <n v="2"/>
    <n v="5"/>
    <x v="7"/>
    <n v="4"/>
    <x v="0"/>
    <n v="18265"/>
    <n v="8733"/>
    <n v="6"/>
    <s v="Y"/>
    <s v="No"/>
    <n v="12"/>
    <n v="3"/>
    <n v="3"/>
    <n v="80"/>
    <n v="0"/>
    <n v="25"/>
    <n v="3"/>
    <n v="4"/>
    <n v="1"/>
    <n v="0"/>
    <n v="0"/>
    <n v="0"/>
    <n v="0"/>
    <x v="1"/>
  </r>
  <r>
    <n v="29"/>
    <x v="1"/>
    <s v="Travel_Rarely"/>
    <n v="694"/>
    <x v="1"/>
    <n v="1"/>
    <x v="3"/>
    <x v="0"/>
    <n v="1"/>
    <n v="1264"/>
    <n v="4"/>
    <x v="0"/>
    <n v="87"/>
    <n v="2"/>
    <n v="4"/>
    <x v="7"/>
    <n v="4"/>
    <x v="2"/>
    <n v="16124"/>
    <n v="3423"/>
    <n v="3"/>
    <s v="Y"/>
    <s v="No"/>
    <n v="14"/>
    <n v="3"/>
    <n v="2"/>
    <n v="80"/>
    <n v="2"/>
    <n v="9"/>
    <n v="2"/>
    <n v="2"/>
    <n v="7"/>
    <n v="7"/>
    <n v="1"/>
    <n v="7"/>
    <n v="0"/>
    <x v="2"/>
  </r>
  <r>
    <n v="34"/>
    <x v="1"/>
    <s v="Travel_Rarely"/>
    <n v="1320"/>
    <x v="1"/>
    <n v="20"/>
    <x v="3"/>
    <x v="4"/>
    <n v="1"/>
    <n v="1265"/>
    <n v="3"/>
    <x v="0"/>
    <n v="89"/>
    <n v="4"/>
    <n v="1"/>
    <x v="1"/>
    <n v="3"/>
    <x v="1"/>
    <n v="2585"/>
    <n v="21643"/>
    <n v="0"/>
    <s v="Y"/>
    <s v="No"/>
    <n v="17"/>
    <n v="3"/>
    <n v="4"/>
    <n v="80"/>
    <n v="0"/>
    <n v="2"/>
    <n v="5"/>
    <n v="2"/>
    <n v="1"/>
    <n v="0"/>
    <n v="0"/>
    <n v="0"/>
    <n v="0"/>
    <x v="2"/>
  </r>
  <r>
    <n v="44"/>
    <x v="1"/>
    <s v="Travel_Rarely"/>
    <n v="1099"/>
    <x v="0"/>
    <n v="5"/>
    <x v="3"/>
    <x v="3"/>
    <n v="1"/>
    <n v="1267"/>
    <n v="2"/>
    <x v="1"/>
    <n v="88"/>
    <n v="3"/>
    <n v="5"/>
    <x v="5"/>
    <n v="2"/>
    <x v="1"/>
    <n v="18213"/>
    <n v="8751"/>
    <n v="7"/>
    <s v="Y"/>
    <s v="No"/>
    <n v="11"/>
    <n v="3"/>
    <n v="3"/>
    <n v="80"/>
    <n v="1"/>
    <n v="26"/>
    <n v="5"/>
    <n v="3"/>
    <n v="22"/>
    <n v="9"/>
    <n v="3"/>
    <n v="10"/>
    <n v="0"/>
    <x v="0"/>
  </r>
  <r>
    <n v="33"/>
    <x v="1"/>
    <s v="Travel_Rarely"/>
    <n v="536"/>
    <x v="0"/>
    <n v="10"/>
    <x v="4"/>
    <x v="3"/>
    <n v="1"/>
    <n v="1268"/>
    <n v="4"/>
    <x v="1"/>
    <n v="82"/>
    <n v="4"/>
    <n v="3"/>
    <x v="0"/>
    <n v="3"/>
    <x v="2"/>
    <n v="8380"/>
    <n v="21708"/>
    <n v="0"/>
    <s v="Y"/>
    <s v="Yes"/>
    <n v="14"/>
    <n v="3"/>
    <n v="4"/>
    <n v="80"/>
    <n v="2"/>
    <n v="10"/>
    <n v="3"/>
    <n v="3"/>
    <n v="9"/>
    <n v="8"/>
    <n v="0"/>
    <n v="8"/>
    <n v="0"/>
    <x v="2"/>
  </r>
  <r>
    <n v="19"/>
    <x v="1"/>
    <s v="Travel_Rarely"/>
    <n v="265"/>
    <x v="1"/>
    <n v="25"/>
    <x v="3"/>
    <x v="0"/>
    <n v="1"/>
    <n v="1269"/>
    <n v="2"/>
    <x v="0"/>
    <n v="57"/>
    <n v="4"/>
    <n v="1"/>
    <x v="1"/>
    <n v="4"/>
    <x v="0"/>
    <n v="2994"/>
    <n v="21221"/>
    <n v="1"/>
    <s v="Y"/>
    <s v="Yes"/>
    <n v="12"/>
    <n v="3"/>
    <n v="4"/>
    <n v="80"/>
    <n v="0"/>
    <n v="1"/>
    <n v="2"/>
    <n v="3"/>
    <n v="1"/>
    <n v="0"/>
    <n v="0"/>
    <n v="1"/>
    <n v="0"/>
    <x v="4"/>
  </r>
  <r>
    <n v="23"/>
    <x v="1"/>
    <s v="Travel_Rarely"/>
    <n v="373"/>
    <x v="1"/>
    <n v="1"/>
    <x v="0"/>
    <x v="0"/>
    <n v="1"/>
    <n v="1270"/>
    <n v="4"/>
    <x v="1"/>
    <n v="47"/>
    <n v="3"/>
    <n v="1"/>
    <x v="1"/>
    <n v="3"/>
    <x v="1"/>
    <n v="1223"/>
    <n v="16901"/>
    <n v="1"/>
    <s v="Y"/>
    <s v="No"/>
    <n v="22"/>
    <n v="4"/>
    <n v="4"/>
    <n v="80"/>
    <n v="1"/>
    <n v="1"/>
    <n v="2"/>
    <n v="3"/>
    <n v="1"/>
    <n v="0"/>
    <n v="0"/>
    <n v="1"/>
    <n v="0"/>
    <x v="4"/>
  </r>
  <r>
    <n v="25"/>
    <x v="0"/>
    <s v="Travel_Frequently"/>
    <n v="599"/>
    <x v="0"/>
    <n v="24"/>
    <x v="1"/>
    <x v="0"/>
    <n v="1"/>
    <n v="1273"/>
    <n v="3"/>
    <x v="1"/>
    <n v="73"/>
    <n v="1"/>
    <n v="1"/>
    <x v="6"/>
    <n v="4"/>
    <x v="0"/>
    <n v="1118"/>
    <n v="8040"/>
    <n v="1"/>
    <s v="Y"/>
    <s v="Yes"/>
    <n v="14"/>
    <n v="3"/>
    <n v="4"/>
    <n v="80"/>
    <n v="0"/>
    <n v="1"/>
    <n v="4"/>
    <n v="3"/>
    <n v="1"/>
    <n v="0"/>
    <n v="1"/>
    <n v="0"/>
    <n v="1"/>
    <x v="2"/>
  </r>
  <r>
    <n v="26"/>
    <x v="1"/>
    <s v="Travel_Rarely"/>
    <n v="583"/>
    <x v="1"/>
    <n v="4"/>
    <x v="0"/>
    <x v="0"/>
    <n v="1"/>
    <n v="1275"/>
    <n v="3"/>
    <x v="1"/>
    <n v="53"/>
    <n v="3"/>
    <n v="1"/>
    <x v="1"/>
    <n v="4"/>
    <x v="0"/>
    <n v="2875"/>
    <n v="9973"/>
    <n v="1"/>
    <s v="Y"/>
    <s v="Yes"/>
    <n v="20"/>
    <n v="4"/>
    <n v="2"/>
    <n v="80"/>
    <n v="0"/>
    <n v="8"/>
    <n v="2"/>
    <n v="2"/>
    <n v="8"/>
    <n v="5"/>
    <n v="2"/>
    <n v="2"/>
    <n v="0"/>
    <x v="2"/>
  </r>
  <r>
    <n v="45"/>
    <x v="0"/>
    <s v="Travel_Rarely"/>
    <n v="1449"/>
    <x v="0"/>
    <n v="2"/>
    <x v="3"/>
    <x v="3"/>
    <n v="1"/>
    <n v="1277"/>
    <n v="1"/>
    <x v="0"/>
    <n v="94"/>
    <n v="1"/>
    <n v="5"/>
    <x v="5"/>
    <n v="2"/>
    <x v="0"/>
    <n v="18824"/>
    <n v="2493"/>
    <n v="2"/>
    <s v="Y"/>
    <s v="Yes"/>
    <n v="16"/>
    <n v="3"/>
    <n v="1"/>
    <n v="80"/>
    <n v="0"/>
    <n v="26"/>
    <n v="2"/>
    <n v="3"/>
    <n v="24"/>
    <n v="10"/>
    <n v="1"/>
    <n v="11"/>
    <n v="1"/>
    <x v="1"/>
  </r>
  <r>
    <n v="55"/>
    <x v="1"/>
    <s v="Non-Travel"/>
    <n v="177"/>
    <x v="1"/>
    <n v="8"/>
    <x v="1"/>
    <x v="2"/>
    <n v="1"/>
    <n v="1278"/>
    <n v="4"/>
    <x v="1"/>
    <n v="37"/>
    <n v="2"/>
    <n v="4"/>
    <x v="4"/>
    <n v="2"/>
    <x v="2"/>
    <n v="13577"/>
    <n v="25592"/>
    <n v="1"/>
    <s v="Y"/>
    <s v="Yes"/>
    <n v="15"/>
    <n v="3"/>
    <n v="4"/>
    <n v="80"/>
    <n v="1"/>
    <n v="34"/>
    <n v="3"/>
    <n v="3"/>
    <n v="33"/>
    <n v="9"/>
    <n v="15"/>
    <n v="0"/>
    <n v="0"/>
    <x v="3"/>
  </r>
  <r>
    <n v="21"/>
    <x v="0"/>
    <s v="Travel_Frequently"/>
    <n v="251"/>
    <x v="1"/>
    <n v="10"/>
    <x v="0"/>
    <x v="0"/>
    <n v="1"/>
    <n v="1279"/>
    <n v="1"/>
    <x v="0"/>
    <n v="45"/>
    <n v="2"/>
    <n v="1"/>
    <x v="2"/>
    <n v="3"/>
    <x v="0"/>
    <n v="2625"/>
    <n v="25308"/>
    <n v="1"/>
    <s v="Y"/>
    <s v="No"/>
    <n v="20"/>
    <n v="4"/>
    <n v="3"/>
    <n v="80"/>
    <n v="0"/>
    <n v="2"/>
    <n v="2"/>
    <n v="1"/>
    <n v="2"/>
    <n v="2"/>
    <n v="2"/>
    <n v="2"/>
    <n v="1"/>
    <x v="4"/>
  </r>
  <r>
    <n v="46"/>
    <x v="1"/>
    <s v="Travel_Rarely"/>
    <n v="168"/>
    <x v="0"/>
    <n v="4"/>
    <x v="0"/>
    <x v="3"/>
    <n v="1"/>
    <n v="1280"/>
    <n v="4"/>
    <x v="0"/>
    <n v="33"/>
    <n v="2"/>
    <n v="5"/>
    <x v="5"/>
    <n v="2"/>
    <x v="1"/>
    <n v="18789"/>
    <n v="9946"/>
    <n v="2"/>
    <s v="Y"/>
    <s v="No"/>
    <n v="14"/>
    <n v="3"/>
    <n v="3"/>
    <n v="80"/>
    <n v="1"/>
    <n v="26"/>
    <n v="2"/>
    <n v="3"/>
    <n v="11"/>
    <n v="4"/>
    <n v="0"/>
    <n v="8"/>
    <n v="0"/>
    <x v="1"/>
  </r>
  <r>
    <n v="34"/>
    <x v="1"/>
    <s v="Travel_Rarely"/>
    <n v="131"/>
    <x v="0"/>
    <n v="2"/>
    <x v="3"/>
    <x v="3"/>
    <n v="1"/>
    <n v="1281"/>
    <n v="3"/>
    <x v="0"/>
    <n v="86"/>
    <n v="3"/>
    <n v="2"/>
    <x v="0"/>
    <n v="1"/>
    <x v="0"/>
    <n v="4538"/>
    <n v="6039"/>
    <n v="0"/>
    <s v="Y"/>
    <s v="Yes"/>
    <n v="12"/>
    <n v="3"/>
    <n v="4"/>
    <n v="80"/>
    <n v="0"/>
    <n v="4"/>
    <n v="3"/>
    <n v="3"/>
    <n v="3"/>
    <n v="2"/>
    <n v="0"/>
    <n v="2"/>
    <n v="0"/>
    <x v="2"/>
  </r>
  <r>
    <n v="51"/>
    <x v="1"/>
    <s v="Travel_Frequently"/>
    <n v="237"/>
    <x v="0"/>
    <n v="9"/>
    <x v="3"/>
    <x v="0"/>
    <n v="1"/>
    <n v="1282"/>
    <n v="4"/>
    <x v="1"/>
    <n v="83"/>
    <n v="3"/>
    <n v="5"/>
    <x v="5"/>
    <n v="2"/>
    <x v="2"/>
    <n v="19847"/>
    <n v="19196"/>
    <n v="4"/>
    <s v="Y"/>
    <s v="Yes"/>
    <n v="24"/>
    <n v="4"/>
    <n v="1"/>
    <n v="80"/>
    <n v="1"/>
    <n v="31"/>
    <n v="5"/>
    <n v="2"/>
    <n v="29"/>
    <n v="10"/>
    <n v="11"/>
    <n v="10"/>
    <n v="0"/>
    <x v="1"/>
  </r>
  <r>
    <n v="59"/>
    <x v="1"/>
    <s v="Travel_Rarely"/>
    <n v="1429"/>
    <x v="1"/>
    <n v="18"/>
    <x v="2"/>
    <x v="2"/>
    <n v="1"/>
    <n v="1283"/>
    <n v="4"/>
    <x v="1"/>
    <n v="67"/>
    <n v="3"/>
    <n v="3"/>
    <x v="3"/>
    <n v="4"/>
    <x v="0"/>
    <n v="10512"/>
    <n v="20002"/>
    <n v="6"/>
    <s v="Y"/>
    <s v="No"/>
    <n v="12"/>
    <n v="3"/>
    <n v="4"/>
    <n v="80"/>
    <n v="0"/>
    <n v="25"/>
    <n v="6"/>
    <n v="2"/>
    <n v="9"/>
    <n v="7"/>
    <n v="5"/>
    <n v="4"/>
    <n v="0"/>
    <x v="3"/>
  </r>
  <r>
    <n v="34"/>
    <x v="1"/>
    <s v="Travel_Frequently"/>
    <n v="135"/>
    <x v="1"/>
    <n v="19"/>
    <x v="3"/>
    <x v="2"/>
    <n v="1"/>
    <n v="1285"/>
    <n v="3"/>
    <x v="0"/>
    <n v="46"/>
    <n v="3"/>
    <n v="2"/>
    <x v="2"/>
    <n v="2"/>
    <x v="2"/>
    <n v="4444"/>
    <n v="22534"/>
    <n v="4"/>
    <s v="Y"/>
    <s v="No"/>
    <n v="13"/>
    <n v="3"/>
    <n v="3"/>
    <n v="80"/>
    <n v="2"/>
    <n v="15"/>
    <n v="2"/>
    <n v="4"/>
    <n v="11"/>
    <n v="8"/>
    <n v="5"/>
    <n v="10"/>
    <n v="0"/>
    <x v="2"/>
  </r>
  <r>
    <n v="28"/>
    <x v="1"/>
    <s v="Travel_Frequently"/>
    <n v="791"/>
    <x v="1"/>
    <n v="1"/>
    <x v="2"/>
    <x v="2"/>
    <n v="1"/>
    <n v="1286"/>
    <n v="4"/>
    <x v="1"/>
    <n v="44"/>
    <n v="3"/>
    <n v="1"/>
    <x v="2"/>
    <n v="3"/>
    <x v="0"/>
    <n v="2154"/>
    <n v="6842"/>
    <n v="0"/>
    <s v="Y"/>
    <s v="Yes"/>
    <n v="11"/>
    <n v="3"/>
    <n v="3"/>
    <n v="80"/>
    <n v="0"/>
    <n v="5"/>
    <n v="2"/>
    <n v="2"/>
    <n v="4"/>
    <n v="2"/>
    <n v="0"/>
    <n v="2"/>
    <n v="0"/>
    <x v="2"/>
  </r>
  <r>
    <n v="44"/>
    <x v="1"/>
    <s v="Travel_Rarely"/>
    <n v="1199"/>
    <x v="1"/>
    <n v="4"/>
    <x v="0"/>
    <x v="0"/>
    <n v="1"/>
    <n v="1288"/>
    <n v="3"/>
    <x v="1"/>
    <n v="92"/>
    <n v="4"/>
    <n v="5"/>
    <x v="5"/>
    <n v="1"/>
    <x v="2"/>
    <n v="19190"/>
    <n v="17477"/>
    <n v="1"/>
    <s v="Y"/>
    <s v="No"/>
    <n v="14"/>
    <n v="3"/>
    <n v="4"/>
    <n v="80"/>
    <n v="2"/>
    <n v="26"/>
    <n v="4"/>
    <n v="2"/>
    <n v="25"/>
    <n v="9"/>
    <n v="14"/>
    <n v="13"/>
    <n v="0"/>
    <x v="0"/>
  </r>
  <r>
    <n v="34"/>
    <x v="1"/>
    <s v="Travel_Frequently"/>
    <n v="648"/>
    <x v="2"/>
    <n v="11"/>
    <x v="3"/>
    <x v="0"/>
    <n v="1"/>
    <n v="1289"/>
    <n v="3"/>
    <x v="1"/>
    <n v="56"/>
    <n v="2"/>
    <n v="2"/>
    <x v="8"/>
    <n v="2"/>
    <x v="1"/>
    <n v="4490"/>
    <n v="21833"/>
    <n v="4"/>
    <s v="Y"/>
    <s v="No"/>
    <n v="11"/>
    <n v="3"/>
    <n v="4"/>
    <n v="80"/>
    <n v="2"/>
    <n v="14"/>
    <n v="5"/>
    <n v="4"/>
    <n v="10"/>
    <n v="9"/>
    <n v="1"/>
    <n v="8"/>
    <n v="0"/>
    <x v="2"/>
  </r>
  <r>
    <n v="35"/>
    <x v="1"/>
    <s v="Travel_Rarely"/>
    <n v="735"/>
    <x v="1"/>
    <n v="6"/>
    <x v="1"/>
    <x v="0"/>
    <n v="1"/>
    <n v="1291"/>
    <n v="3"/>
    <x v="1"/>
    <n v="66"/>
    <n v="3"/>
    <n v="1"/>
    <x v="1"/>
    <n v="3"/>
    <x v="1"/>
    <n v="3506"/>
    <n v="6020"/>
    <n v="0"/>
    <s v="Y"/>
    <s v="Yes"/>
    <n v="14"/>
    <n v="3"/>
    <n v="4"/>
    <n v="80"/>
    <n v="0"/>
    <n v="4"/>
    <n v="3"/>
    <n v="3"/>
    <n v="3"/>
    <n v="2"/>
    <n v="2"/>
    <n v="2"/>
    <n v="0"/>
    <x v="0"/>
  </r>
  <r>
    <n v="42"/>
    <x v="1"/>
    <s v="Travel_Rarely"/>
    <n v="603"/>
    <x v="1"/>
    <n v="7"/>
    <x v="2"/>
    <x v="2"/>
    <n v="1"/>
    <n v="1292"/>
    <n v="2"/>
    <x v="0"/>
    <n v="78"/>
    <n v="4"/>
    <n v="2"/>
    <x v="1"/>
    <n v="2"/>
    <x v="1"/>
    <n v="2372"/>
    <n v="5628"/>
    <n v="6"/>
    <s v="Y"/>
    <s v="Yes"/>
    <n v="16"/>
    <n v="3"/>
    <n v="4"/>
    <n v="80"/>
    <n v="0"/>
    <n v="18"/>
    <n v="2"/>
    <n v="3"/>
    <n v="1"/>
    <n v="0"/>
    <n v="0"/>
    <n v="0"/>
    <n v="0"/>
    <x v="0"/>
  </r>
  <r>
    <n v="43"/>
    <x v="1"/>
    <s v="Travel_Rarely"/>
    <n v="531"/>
    <x v="0"/>
    <n v="4"/>
    <x v="2"/>
    <x v="3"/>
    <n v="1"/>
    <n v="1293"/>
    <n v="4"/>
    <x v="0"/>
    <n v="56"/>
    <n v="2"/>
    <n v="3"/>
    <x v="0"/>
    <n v="4"/>
    <x v="0"/>
    <n v="10231"/>
    <n v="20364"/>
    <n v="3"/>
    <s v="Y"/>
    <s v="No"/>
    <n v="14"/>
    <n v="3"/>
    <n v="4"/>
    <n v="80"/>
    <n v="0"/>
    <n v="23"/>
    <n v="3"/>
    <n v="4"/>
    <n v="21"/>
    <n v="7"/>
    <n v="15"/>
    <n v="17"/>
    <n v="0"/>
    <x v="0"/>
  </r>
  <r>
    <n v="36"/>
    <x v="1"/>
    <s v="Travel_Rarely"/>
    <n v="429"/>
    <x v="1"/>
    <n v="2"/>
    <x v="2"/>
    <x v="0"/>
    <n v="1"/>
    <n v="1294"/>
    <n v="3"/>
    <x v="0"/>
    <n v="53"/>
    <n v="3"/>
    <n v="2"/>
    <x v="3"/>
    <n v="2"/>
    <x v="0"/>
    <n v="5410"/>
    <n v="2323"/>
    <n v="9"/>
    <s v="Y"/>
    <s v="Yes"/>
    <n v="11"/>
    <n v="3"/>
    <n v="4"/>
    <n v="80"/>
    <n v="0"/>
    <n v="18"/>
    <n v="2"/>
    <n v="3"/>
    <n v="16"/>
    <n v="14"/>
    <n v="5"/>
    <n v="12"/>
    <n v="0"/>
    <x v="0"/>
  </r>
  <r>
    <n v="44"/>
    <x v="0"/>
    <s v="Travel_Rarely"/>
    <n v="621"/>
    <x v="1"/>
    <n v="15"/>
    <x v="3"/>
    <x v="2"/>
    <n v="1"/>
    <n v="1295"/>
    <n v="1"/>
    <x v="0"/>
    <n v="73"/>
    <n v="3"/>
    <n v="3"/>
    <x v="4"/>
    <n v="4"/>
    <x v="1"/>
    <n v="7978"/>
    <n v="14075"/>
    <n v="1"/>
    <s v="Y"/>
    <s v="No"/>
    <n v="11"/>
    <n v="3"/>
    <n v="4"/>
    <n v="80"/>
    <n v="1"/>
    <n v="10"/>
    <n v="2"/>
    <n v="3"/>
    <n v="10"/>
    <n v="7"/>
    <n v="0"/>
    <n v="5"/>
    <n v="1"/>
    <x v="0"/>
  </r>
  <r>
    <n v="28"/>
    <x v="1"/>
    <s v="Travel_Frequently"/>
    <n v="193"/>
    <x v="1"/>
    <n v="2"/>
    <x v="3"/>
    <x v="0"/>
    <n v="1"/>
    <n v="1296"/>
    <n v="4"/>
    <x v="1"/>
    <n v="52"/>
    <n v="2"/>
    <n v="1"/>
    <x v="2"/>
    <n v="4"/>
    <x v="1"/>
    <n v="3867"/>
    <n v="14222"/>
    <n v="1"/>
    <s v="Y"/>
    <s v="Yes"/>
    <n v="12"/>
    <n v="3"/>
    <n v="2"/>
    <n v="80"/>
    <n v="1"/>
    <n v="2"/>
    <n v="2"/>
    <n v="3"/>
    <n v="2"/>
    <n v="2"/>
    <n v="2"/>
    <n v="2"/>
    <n v="0"/>
    <x v="2"/>
  </r>
  <r>
    <n v="51"/>
    <x v="1"/>
    <s v="Travel_Frequently"/>
    <n v="968"/>
    <x v="1"/>
    <n v="6"/>
    <x v="0"/>
    <x v="2"/>
    <n v="1"/>
    <n v="1297"/>
    <n v="2"/>
    <x v="0"/>
    <n v="40"/>
    <n v="2"/>
    <n v="1"/>
    <x v="2"/>
    <n v="3"/>
    <x v="0"/>
    <n v="2838"/>
    <n v="4257"/>
    <n v="0"/>
    <s v="Y"/>
    <s v="No"/>
    <n v="14"/>
    <n v="3"/>
    <n v="2"/>
    <n v="80"/>
    <n v="0"/>
    <n v="8"/>
    <n v="6"/>
    <n v="2"/>
    <n v="7"/>
    <n v="0"/>
    <n v="7"/>
    <n v="7"/>
    <n v="0"/>
    <x v="1"/>
  </r>
  <r>
    <n v="30"/>
    <x v="1"/>
    <s v="Non-Travel"/>
    <n v="879"/>
    <x v="1"/>
    <n v="9"/>
    <x v="0"/>
    <x v="2"/>
    <n v="1"/>
    <n v="1298"/>
    <n v="3"/>
    <x v="0"/>
    <n v="72"/>
    <n v="3"/>
    <n v="2"/>
    <x v="3"/>
    <n v="3"/>
    <x v="0"/>
    <n v="4695"/>
    <n v="12858"/>
    <n v="7"/>
    <s v="Y"/>
    <s v="Yes"/>
    <n v="18"/>
    <n v="3"/>
    <n v="3"/>
    <n v="80"/>
    <n v="0"/>
    <n v="10"/>
    <n v="3"/>
    <n v="3"/>
    <n v="8"/>
    <n v="4"/>
    <n v="1"/>
    <n v="7"/>
    <n v="0"/>
    <x v="2"/>
  </r>
  <r>
    <n v="29"/>
    <x v="0"/>
    <s v="Travel_Rarely"/>
    <n v="806"/>
    <x v="1"/>
    <n v="7"/>
    <x v="3"/>
    <x v="4"/>
    <n v="1"/>
    <n v="1299"/>
    <n v="2"/>
    <x v="0"/>
    <n v="39"/>
    <n v="3"/>
    <n v="1"/>
    <x v="2"/>
    <n v="3"/>
    <x v="2"/>
    <n v="3339"/>
    <n v="17285"/>
    <n v="3"/>
    <s v="Y"/>
    <s v="Yes"/>
    <n v="13"/>
    <n v="3"/>
    <n v="1"/>
    <n v="80"/>
    <n v="2"/>
    <n v="10"/>
    <n v="2"/>
    <n v="3"/>
    <n v="7"/>
    <n v="7"/>
    <n v="7"/>
    <n v="7"/>
    <n v="1"/>
    <x v="2"/>
  </r>
  <r>
    <n v="28"/>
    <x v="1"/>
    <s v="Travel_Rarely"/>
    <n v="640"/>
    <x v="1"/>
    <n v="1"/>
    <x v="3"/>
    <x v="4"/>
    <n v="1"/>
    <n v="1301"/>
    <n v="4"/>
    <x v="1"/>
    <n v="84"/>
    <n v="3"/>
    <n v="1"/>
    <x v="1"/>
    <n v="1"/>
    <x v="0"/>
    <n v="2080"/>
    <n v="4732"/>
    <n v="2"/>
    <s v="Y"/>
    <s v="No"/>
    <n v="11"/>
    <n v="3"/>
    <n v="2"/>
    <n v="80"/>
    <n v="0"/>
    <n v="5"/>
    <n v="2"/>
    <n v="2"/>
    <n v="3"/>
    <n v="2"/>
    <n v="1"/>
    <n v="2"/>
    <n v="0"/>
    <x v="2"/>
  </r>
  <r>
    <n v="25"/>
    <x v="1"/>
    <s v="Travel_Rarely"/>
    <n v="266"/>
    <x v="1"/>
    <n v="1"/>
    <x v="3"/>
    <x v="2"/>
    <n v="1"/>
    <n v="1303"/>
    <n v="4"/>
    <x v="0"/>
    <n v="40"/>
    <n v="3"/>
    <n v="1"/>
    <x v="1"/>
    <n v="2"/>
    <x v="0"/>
    <n v="2096"/>
    <n v="18830"/>
    <n v="1"/>
    <s v="Y"/>
    <s v="No"/>
    <n v="18"/>
    <n v="3"/>
    <n v="4"/>
    <n v="80"/>
    <n v="0"/>
    <n v="2"/>
    <n v="3"/>
    <n v="2"/>
    <n v="2"/>
    <n v="2"/>
    <n v="2"/>
    <n v="1"/>
    <n v="0"/>
    <x v="2"/>
  </r>
  <r>
    <n v="32"/>
    <x v="1"/>
    <s v="Travel_Rarely"/>
    <n v="604"/>
    <x v="0"/>
    <n v="8"/>
    <x v="3"/>
    <x v="2"/>
    <n v="1"/>
    <n v="1304"/>
    <n v="3"/>
    <x v="1"/>
    <n v="56"/>
    <n v="4"/>
    <n v="2"/>
    <x v="0"/>
    <n v="4"/>
    <x v="1"/>
    <n v="6209"/>
    <n v="11693"/>
    <n v="1"/>
    <s v="Y"/>
    <s v="No"/>
    <n v="15"/>
    <n v="3"/>
    <n v="3"/>
    <n v="80"/>
    <n v="2"/>
    <n v="10"/>
    <n v="4"/>
    <n v="4"/>
    <n v="10"/>
    <n v="7"/>
    <n v="0"/>
    <n v="8"/>
    <n v="0"/>
    <x v="2"/>
  </r>
  <r>
    <n v="45"/>
    <x v="1"/>
    <s v="Travel_Frequently"/>
    <n v="364"/>
    <x v="1"/>
    <n v="25"/>
    <x v="3"/>
    <x v="2"/>
    <n v="1"/>
    <n v="1306"/>
    <n v="2"/>
    <x v="0"/>
    <n v="83"/>
    <n v="3"/>
    <n v="5"/>
    <x v="5"/>
    <n v="2"/>
    <x v="0"/>
    <n v="18061"/>
    <n v="13035"/>
    <n v="3"/>
    <s v="Y"/>
    <s v="No"/>
    <n v="22"/>
    <n v="4"/>
    <n v="3"/>
    <n v="80"/>
    <n v="0"/>
    <n v="22"/>
    <n v="4"/>
    <n v="3"/>
    <n v="0"/>
    <n v="0"/>
    <n v="0"/>
    <n v="0"/>
    <n v="0"/>
    <x v="1"/>
  </r>
  <r>
    <n v="39"/>
    <x v="1"/>
    <s v="Travel_Rarely"/>
    <n v="412"/>
    <x v="1"/>
    <n v="13"/>
    <x v="2"/>
    <x v="2"/>
    <n v="1"/>
    <n v="1307"/>
    <n v="3"/>
    <x v="0"/>
    <n v="94"/>
    <n v="2"/>
    <n v="4"/>
    <x v="5"/>
    <n v="2"/>
    <x v="2"/>
    <n v="17123"/>
    <n v="17334"/>
    <n v="6"/>
    <s v="Y"/>
    <s v="Yes"/>
    <n v="13"/>
    <n v="3"/>
    <n v="4"/>
    <n v="80"/>
    <n v="2"/>
    <n v="21"/>
    <n v="4"/>
    <n v="3"/>
    <n v="19"/>
    <n v="9"/>
    <n v="15"/>
    <n v="2"/>
    <n v="0"/>
    <x v="0"/>
  </r>
  <r>
    <n v="58"/>
    <x v="1"/>
    <s v="Travel_Rarely"/>
    <n v="848"/>
    <x v="1"/>
    <n v="23"/>
    <x v="2"/>
    <x v="0"/>
    <n v="1"/>
    <n v="1308"/>
    <n v="1"/>
    <x v="1"/>
    <n v="88"/>
    <n v="3"/>
    <n v="1"/>
    <x v="1"/>
    <n v="3"/>
    <x v="2"/>
    <n v="2372"/>
    <n v="26076"/>
    <n v="1"/>
    <s v="Y"/>
    <s v="No"/>
    <n v="12"/>
    <n v="3"/>
    <n v="4"/>
    <n v="80"/>
    <n v="2"/>
    <n v="2"/>
    <n v="3"/>
    <n v="3"/>
    <n v="2"/>
    <n v="2"/>
    <n v="2"/>
    <n v="2"/>
    <n v="0"/>
    <x v="3"/>
  </r>
  <r>
    <n v="32"/>
    <x v="0"/>
    <s v="Travel_Rarely"/>
    <n v="1089"/>
    <x v="1"/>
    <n v="7"/>
    <x v="0"/>
    <x v="0"/>
    <n v="1"/>
    <n v="1309"/>
    <n v="4"/>
    <x v="1"/>
    <n v="79"/>
    <n v="3"/>
    <n v="2"/>
    <x v="2"/>
    <n v="3"/>
    <x v="1"/>
    <n v="4883"/>
    <n v="22845"/>
    <n v="1"/>
    <s v="Y"/>
    <s v="No"/>
    <n v="18"/>
    <n v="3"/>
    <n v="1"/>
    <n v="80"/>
    <n v="1"/>
    <n v="10"/>
    <n v="3"/>
    <n v="3"/>
    <n v="10"/>
    <n v="4"/>
    <n v="1"/>
    <n v="1"/>
    <n v="1"/>
    <x v="2"/>
  </r>
  <r>
    <n v="39"/>
    <x v="0"/>
    <s v="Travel_Rarely"/>
    <n v="360"/>
    <x v="1"/>
    <n v="23"/>
    <x v="3"/>
    <x v="2"/>
    <n v="1"/>
    <n v="1310"/>
    <n v="3"/>
    <x v="1"/>
    <n v="93"/>
    <n v="3"/>
    <n v="1"/>
    <x v="1"/>
    <n v="1"/>
    <x v="0"/>
    <n v="3904"/>
    <n v="22154"/>
    <n v="0"/>
    <s v="Y"/>
    <s v="No"/>
    <n v="13"/>
    <n v="3"/>
    <n v="1"/>
    <n v="80"/>
    <n v="0"/>
    <n v="6"/>
    <n v="2"/>
    <n v="3"/>
    <n v="5"/>
    <n v="2"/>
    <n v="0"/>
    <n v="3"/>
    <n v="1"/>
    <x v="0"/>
  </r>
  <r>
    <n v="30"/>
    <x v="1"/>
    <s v="Travel_Rarely"/>
    <n v="1138"/>
    <x v="1"/>
    <n v="6"/>
    <x v="3"/>
    <x v="4"/>
    <n v="1"/>
    <n v="1311"/>
    <n v="1"/>
    <x v="0"/>
    <n v="48"/>
    <n v="2"/>
    <n v="2"/>
    <x v="2"/>
    <n v="4"/>
    <x v="1"/>
    <n v="4627"/>
    <n v="23631"/>
    <n v="0"/>
    <s v="Y"/>
    <s v="No"/>
    <n v="12"/>
    <n v="3"/>
    <n v="1"/>
    <n v="80"/>
    <n v="1"/>
    <n v="10"/>
    <n v="6"/>
    <n v="3"/>
    <n v="9"/>
    <n v="2"/>
    <n v="6"/>
    <n v="7"/>
    <n v="0"/>
    <x v="2"/>
  </r>
  <r>
    <n v="36"/>
    <x v="1"/>
    <s v="Travel_Rarely"/>
    <n v="325"/>
    <x v="1"/>
    <n v="10"/>
    <x v="2"/>
    <x v="4"/>
    <n v="1"/>
    <n v="1312"/>
    <n v="4"/>
    <x v="0"/>
    <n v="63"/>
    <n v="3"/>
    <n v="3"/>
    <x v="4"/>
    <n v="3"/>
    <x v="1"/>
    <n v="7094"/>
    <n v="5747"/>
    <n v="3"/>
    <s v="Y"/>
    <s v="No"/>
    <n v="12"/>
    <n v="3"/>
    <n v="1"/>
    <n v="80"/>
    <n v="0"/>
    <n v="10"/>
    <n v="0"/>
    <n v="3"/>
    <n v="7"/>
    <n v="7"/>
    <n v="1"/>
    <n v="7"/>
    <n v="0"/>
    <x v="0"/>
  </r>
  <r>
    <n v="46"/>
    <x v="1"/>
    <s v="Travel_Rarely"/>
    <n v="991"/>
    <x v="2"/>
    <n v="1"/>
    <x v="0"/>
    <x v="0"/>
    <n v="1"/>
    <n v="1314"/>
    <n v="4"/>
    <x v="0"/>
    <n v="44"/>
    <n v="3"/>
    <n v="1"/>
    <x v="8"/>
    <n v="1"/>
    <x v="0"/>
    <n v="3423"/>
    <n v="22957"/>
    <n v="6"/>
    <s v="Y"/>
    <s v="No"/>
    <n v="12"/>
    <n v="3"/>
    <n v="3"/>
    <n v="80"/>
    <n v="0"/>
    <n v="10"/>
    <n v="3"/>
    <n v="4"/>
    <n v="7"/>
    <n v="6"/>
    <n v="5"/>
    <n v="7"/>
    <n v="0"/>
    <x v="1"/>
  </r>
  <r>
    <n v="28"/>
    <x v="1"/>
    <s v="Non-Travel"/>
    <n v="1476"/>
    <x v="1"/>
    <n v="1"/>
    <x v="3"/>
    <x v="0"/>
    <n v="1"/>
    <n v="1315"/>
    <n v="3"/>
    <x v="0"/>
    <n v="55"/>
    <n v="1"/>
    <n v="2"/>
    <x v="2"/>
    <n v="4"/>
    <x v="1"/>
    <n v="6674"/>
    <n v="16392"/>
    <n v="0"/>
    <s v="Y"/>
    <s v="No"/>
    <n v="11"/>
    <n v="3"/>
    <n v="1"/>
    <n v="80"/>
    <n v="3"/>
    <n v="10"/>
    <n v="6"/>
    <n v="3"/>
    <n v="9"/>
    <n v="8"/>
    <n v="7"/>
    <n v="5"/>
    <n v="0"/>
    <x v="2"/>
  </r>
  <r>
    <n v="50"/>
    <x v="1"/>
    <s v="Travel_Rarely"/>
    <n v="1322"/>
    <x v="1"/>
    <n v="28"/>
    <x v="3"/>
    <x v="0"/>
    <n v="1"/>
    <n v="1317"/>
    <n v="4"/>
    <x v="0"/>
    <n v="43"/>
    <n v="3"/>
    <n v="4"/>
    <x v="7"/>
    <n v="1"/>
    <x v="1"/>
    <n v="16880"/>
    <n v="22422"/>
    <n v="4"/>
    <s v="Y"/>
    <s v="Yes"/>
    <n v="11"/>
    <n v="3"/>
    <n v="2"/>
    <n v="80"/>
    <n v="0"/>
    <n v="25"/>
    <n v="2"/>
    <n v="3"/>
    <n v="3"/>
    <n v="2"/>
    <n v="1"/>
    <n v="2"/>
    <n v="0"/>
    <x v="1"/>
  </r>
  <r>
    <n v="40"/>
    <x v="0"/>
    <s v="Travel_Rarely"/>
    <n v="299"/>
    <x v="0"/>
    <n v="25"/>
    <x v="2"/>
    <x v="3"/>
    <n v="1"/>
    <n v="1318"/>
    <n v="4"/>
    <x v="1"/>
    <n v="57"/>
    <n v="2"/>
    <n v="3"/>
    <x v="0"/>
    <n v="2"/>
    <x v="0"/>
    <n v="9094"/>
    <n v="17235"/>
    <n v="2"/>
    <s v="Y"/>
    <s v="Yes"/>
    <n v="12"/>
    <n v="3"/>
    <n v="3"/>
    <n v="80"/>
    <n v="0"/>
    <n v="9"/>
    <n v="2"/>
    <n v="3"/>
    <n v="5"/>
    <n v="4"/>
    <n v="1"/>
    <n v="0"/>
    <n v="1"/>
    <x v="0"/>
  </r>
  <r>
    <n v="52"/>
    <x v="0"/>
    <s v="Travel_Rarely"/>
    <n v="1030"/>
    <x v="0"/>
    <n v="5"/>
    <x v="3"/>
    <x v="0"/>
    <n v="1"/>
    <n v="1319"/>
    <n v="2"/>
    <x v="1"/>
    <n v="64"/>
    <n v="3"/>
    <n v="3"/>
    <x v="0"/>
    <n v="2"/>
    <x v="0"/>
    <n v="8446"/>
    <n v="21534"/>
    <n v="9"/>
    <s v="Y"/>
    <s v="Yes"/>
    <n v="19"/>
    <n v="3"/>
    <n v="3"/>
    <n v="80"/>
    <n v="0"/>
    <n v="10"/>
    <n v="2"/>
    <n v="2"/>
    <n v="8"/>
    <n v="7"/>
    <n v="7"/>
    <n v="7"/>
    <n v="1"/>
    <x v="1"/>
  </r>
  <r>
    <n v="30"/>
    <x v="1"/>
    <s v="Travel_Rarely"/>
    <n v="634"/>
    <x v="1"/>
    <n v="17"/>
    <x v="2"/>
    <x v="2"/>
    <n v="1"/>
    <n v="1321"/>
    <n v="2"/>
    <x v="0"/>
    <n v="95"/>
    <n v="3"/>
    <n v="3"/>
    <x v="5"/>
    <n v="1"/>
    <x v="1"/>
    <n v="11916"/>
    <n v="25927"/>
    <n v="1"/>
    <s v="Y"/>
    <s v="Yes"/>
    <n v="23"/>
    <n v="4"/>
    <n v="4"/>
    <n v="80"/>
    <n v="2"/>
    <n v="9"/>
    <n v="2"/>
    <n v="3"/>
    <n v="9"/>
    <n v="1"/>
    <n v="0"/>
    <n v="8"/>
    <n v="0"/>
    <x v="2"/>
  </r>
  <r>
    <n v="39"/>
    <x v="1"/>
    <s v="Travel_Rarely"/>
    <n v="524"/>
    <x v="1"/>
    <n v="18"/>
    <x v="0"/>
    <x v="0"/>
    <n v="1"/>
    <n v="1322"/>
    <n v="1"/>
    <x v="1"/>
    <n v="32"/>
    <n v="3"/>
    <n v="2"/>
    <x v="3"/>
    <n v="3"/>
    <x v="0"/>
    <n v="4534"/>
    <n v="13352"/>
    <n v="0"/>
    <s v="Y"/>
    <s v="No"/>
    <n v="11"/>
    <n v="3"/>
    <n v="1"/>
    <n v="80"/>
    <n v="0"/>
    <n v="9"/>
    <n v="6"/>
    <n v="3"/>
    <n v="8"/>
    <n v="7"/>
    <n v="1"/>
    <n v="7"/>
    <n v="0"/>
    <x v="0"/>
  </r>
  <r>
    <n v="31"/>
    <x v="1"/>
    <s v="Non-Travel"/>
    <n v="587"/>
    <x v="0"/>
    <n v="2"/>
    <x v="2"/>
    <x v="0"/>
    <n v="1"/>
    <n v="1324"/>
    <n v="4"/>
    <x v="0"/>
    <n v="57"/>
    <n v="3"/>
    <n v="3"/>
    <x v="0"/>
    <n v="3"/>
    <x v="2"/>
    <n v="9852"/>
    <n v="8935"/>
    <n v="1"/>
    <s v="Y"/>
    <s v="Yes"/>
    <n v="19"/>
    <n v="3"/>
    <n v="1"/>
    <n v="80"/>
    <n v="1"/>
    <n v="10"/>
    <n v="5"/>
    <n v="2"/>
    <n v="10"/>
    <n v="8"/>
    <n v="9"/>
    <n v="6"/>
    <n v="0"/>
    <x v="2"/>
  </r>
  <r>
    <n v="41"/>
    <x v="1"/>
    <s v="Non-Travel"/>
    <n v="256"/>
    <x v="0"/>
    <n v="10"/>
    <x v="0"/>
    <x v="2"/>
    <n v="1"/>
    <n v="1329"/>
    <n v="3"/>
    <x v="1"/>
    <n v="40"/>
    <n v="1"/>
    <n v="2"/>
    <x v="0"/>
    <n v="2"/>
    <x v="0"/>
    <n v="6151"/>
    <n v="22074"/>
    <n v="1"/>
    <s v="Y"/>
    <s v="No"/>
    <n v="13"/>
    <n v="3"/>
    <n v="1"/>
    <n v="80"/>
    <n v="0"/>
    <n v="19"/>
    <n v="4"/>
    <n v="3"/>
    <n v="19"/>
    <n v="2"/>
    <n v="11"/>
    <n v="9"/>
    <n v="0"/>
    <x v="0"/>
  </r>
  <r>
    <n v="31"/>
    <x v="0"/>
    <s v="Travel_Frequently"/>
    <n v="1060"/>
    <x v="0"/>
    <n v="1"/>
    <x v="3"/>
    <x v="0"/>
    <n v="1"/>
    <n v="1331"/>
    <n v="4"/>
    <x v="0"/>
    <n v="54"/>
    <n v="3"/>
    <n v="1"/>
    <x v="6"/>
    <n v="2"/>
    <x v="0"/>
    <n v="2302"/>
    <n v="8319"/>
    <n v="1"/>
    <s v="Y"/>
    <s v="Yes"/>
    <n v="11"/>
    <n v="3"/>
    <n v="1"/>
    <n v="80"/>
    <n v="0"/>
    <n v="3"/>
    <n v="2"/>
    <n v="4"/>
    <n v="3"/>
    <n v="2"/>
    <n v="2"/>
    <n v="2"/>
    <n v="1"/>
    <x v="2"/>
  </r>
  <r>
    <n v="44"/>
    <x v="0"/>
    <s v="Travel_Rarely"/>
    <n v="935"/>
    <x v="1"/>
    <n v="3"/>
    <x v="3"/>
    <x v="0"/>
    <n v="1"/>
    <n v="1333"/>
    <n v="1"/>
    <x v="1"/>
    <n v="89"/>
    <n v="3"/>
    <n v="1"/>
    <x v="2"/>
    <n v="1"/>
    <x v="1"/>
    <n v="2362"/>
    <n v="14669"/>
    <n v="4"/>
    <s v="Y"/>
    <s v="No"/>
    <n v="12"/>
    <n v="3"/>
    <n v="3"/>
    <n v="80"/>
    <n v="0"/>
    <n v="10"/>
    <n v="4"/>
    <n v="4"/>
    <n v="3"/>
    <n v="2"/>
    <n v="1"/>
    <n v="2"/>
    <n v="1"/>
    <x v="0"/>
  </r>
  <r>
    <n v="42"/>
    <x v="1"/>
    <s v="Non-Travel"/>
    <n v="495"/>
    <x v="1"/>
    <n v="2"/>
    <x v="1"/>
    <x v="0"/>
    <n v="1"/>
    <n v="1334"/>
    <n v="3"/>
    <x v="1"/>
    <n v="37"/>
    <n v="3"/>
    <n v="4"/>
    <x v="5"/>
    <n v="3"/>
    <x v="1"/>
    <n v="17861"/>
    <n v="26582"/>
    <n v="0"/>
    <s v="Y"/>
    <s v="Yes"/>
    <n v="13"/>
    <n v="3"/>
    <n v="4"/>
    <n v="80"/>
    <n v="0"/>
    <n v="21"/>
    <n v="3"/>
    <n v="2"/>
    <n v="20"/>
    <n v="8"/>
    <n v="2"/>
    <n v="10"/>
    <n v="0"/>
    <x v="0"/>
  </r>
  <r>
    <n v="55"/>
    <x v="1"/>
    <s v="Travel_Rarely"/>
    <n v="282"/>
    <x v="1"/>
    <n v="2"/>
    <x v="0"/>
    <x v="2"/>
    <n v="1"/>
    <n v="1336"/>
    <n v="4"/>
    <x v="0"/>
    <n v="58"/>
    <n v="1"/>
    <n v="5"/>
    <x v="5"/>
    <n v="3"/>
    <x v="1"/>
    <n v="19187"/>
    <n v="6992"/>
    <n v="4"/>
    <s v="Y"/>
    <s v="No"/>
    <n v="14"/>
    <n v="3"/>
    <n v="4"/>
    <n v="80"/>
    <n v="1"/>
    <n v="23"/>
    <n v="5"/>
    <n v="3"/>
    <n v="19"/>
    <n v="9"/>
    <n v="9"/>
    <n v="11"/>
    <n v="0"/>
    <x v="3"/>
  </r>
  <r>
    <n v="56"/>
    <x v="1"/>
    <s v="Travel_Rarely"/>
    <n v="206"/>
    <x v="2"/>
    <n v="8"/>
    <x v="2"/>
    <x v="0"/>
    <n v="1"/>
    <n v="1338"/>
    <n v="4"/>
    <x v="1"/>
    <n v="99"/>
    <n v="3"/>
    <n v="5"/>
    <x v="5"/>
    <n v="2"/>
    <x v="0"/>
    <n v="19717"/>
    <n v="4022"/>
    <n v="6"/>
    <s v="Y"/>
    <s v="No"/>
    <n v="14"/>
    <n v="3"/>
    <n v="1"/>
    <n v="80"/>
    <n v="0"/>
    <n v="36"/>
    <n v="4"/>
    <n v="3"/>
    <n v="7"/>
    <n v="3"/>
    <n v="7"/>
    <n v="7"/>
    <n v="0"/>
    <x v="3"/>
  </r>
  <r>
    <n v="40"/>
    <x v="1"/>
    <s v="Non-Travel"/>
    <n v="458"/>
    <x v="1"/>
    <n v="16"/>
    <x v="0"/>
    <x v="0"/>
    <n v="1"/>
    <n v="1340"/>
    <n v="3"/>
    <x v="1"/>
    <n v="74"/>
    <n v="3"/>
    <n v="1"/>
    <x v="1"/>
    <n v="3"/>
    <x v="2"/>
    <n v="3544"/>
    <n v="8532"/>
    <n v="9"/>
    <s v="Y"/>
    <s v="No"/>
    <n v="16"/>
    <n v="3"/>
    <n v="2"/>
    <n v="80"/>
    <n v="1"/>
    <n v="6"/>
    <n v="0"/>
    <n v="3"/>
    <n v="4"/>
    <n v="2"/>
    <n v="0"/>
    <n v="0"/>
    <n v="0"/>
    <x v="0"/>
  </r>
  <r>
    <n v="34"/>
    <x v="1"/>
    <s v="Travel_Rarely"/>
    <n v="943"/>
    <x v="1"/>
    <n v="9"/>
    <x v="3"/>
    <x v="0"/>
    <n v="1"/>
    <n v="1344"/>
    <n v="4"/>
    <x v="1"/>
    <n v="86"/>
    <n v="3"/>
    <n v="3"/>
    <x v="4"/>
    <n v="4"/>
    <x v="2"/>
    <n v="8500"/>
    <n v="5494"/>
    <n v="0"/>
    <s v="Y"/>
    <s v="No"/>
    <n v="11"/>
    <n v="3"/>
    <n v="4"/>
    <n v="80"/>
    <n v="1"/>
    <n v="10"/>
    <n v="0"/>
    <n v="2"/>
    <n v="9"/>
    <n v="7"/>
    <n v="1"/>
    <n v="6"/>
    <n v="0"/>
    <x v="2"/>
  </r>
  <r>
    <n v="40"/>
    <x v="1"/>
    <s v="Travel_Rarely"/>
    <n v="523"/>
    <x v="1"/>
    <n v="2"/>
    <x v="3"/>
    <x v="0"/>
    <n v="1"/>
    <n v="1346"/>
    <n v="3"/>
    <x v="1"/>
    <n v="98"/>
    <n v="3"/>
    <n v="2"/>
    <x v="1"/>
    <n v="4"/>
    <x v="0"/>
    <n v="4661"/>
    <n v="22455"/>
    <n v="1"/>
    <s v="Y"/>
    <s v="No"/>
    <n v="13"/>
    <n v="3"/>
    <n v="3"/>
    <n v="80"/>
    <n v="0"/>
    <n v="9"/>
    <n v="4"/>
    <n v="3"/>
    <n v="9"/>
    <n v="8"/>
    <n v="8"/>
    <n v="8"/>
    <n v="0"/>
    <x v="0"/>
  </r>
  <r>
    <n v="41"/>
    <x v="1"/>
    <s v="Travel_Frequently"/>
    <n v="1018"/>
    <x v="0"/>
    <n v="1"/>
    <x v="3"/>
    <x v="3"/>
    <n v="1"/>
    <n v="1349"/>
    <n v="3"/>
    <x v="0"/>
    <n v="66"/>
    <n v="3"/>
    <n v="2"/>
    <x v="0"/>
    <n v="1"/>
    <x v="2"/>
    <n v="4103"/>
    <n v="4297"/>
    <n v="0"/>
    <s v="Y"/>
    <s v="No"/>
    <n v="17"/>
    <n v="3"/>
    <n v="4"/>
    <n v="80"/>
    <n v="1"/>
    <n v="10"/>
    <n v="2"/>
    <n v="3"/>
    <n v="9"/>
    <n v="3"/>
    <n v="1"/>
    <n v="7"/>
    <n v="0"/>
    <x v="0"/>
  </r>
  <r>
    <n v="35"/>
    <x v="1"/>
    <s v="Travel_Frequently"/>
    <n v="482"/>
    <x v="1"/>
    <n v="4"/>
    <x v="2"/>
    <x v="0"/>
    <n v="1"/>
    <n v="1350"/>
    <n v="3"/>
    <x v="1"/>
    <n v="87"/>
    <n v="3"/>
    <n v="2"/>
    <x v="1"/>
    <n v="3"/>
    <x v="0"/>
    <n v="4249"/>
    <n v="2690"/>
    <n v="1"/>
    <s v="Y"/>
    <s v="Yes"/>
    <n v="11"/>
    <n v="3"/>
    <n v="2"/>
    <n v="80"/>
    <n v="0"/>
    <n v="9"/>
    <n v="3"/>
    <n v="3"/>
    <n v="9"/>
    <n v="6"/>
    <n v="1"/>
    <n v="1"/>
    <n v="0"/>
    <x v="0"/>
  </r>
  <r>
    <n v="51"/>
    <x v="1"/>
    <s v="Travel_Rarely"/>
    <n v="770"/>
    <x v="2"/>
    <n v="5"/>
    <x v="3"/>
    <x v="0"/>
    <n v="1"/>
    <n v="1352"/>
    <n v="3"/>
    <x v="1"/>
    <n v="84"/>
    <n v="3"/>
    <n v="4"/>
    <x v="5"/>
    <n v="2"/>
    <x v="2"/>
    <n v="14026"/>
    <n v="17588"/>
    <n v="1"/>
    <s v="Y"/>
    <s v="Yes"/>
    <n v="11"/>
    <n v="3"/>
    <n v="2"/>
    <n v="80"/>
    <n v="1"/>
    <n v="33"/>
    <n v="2"/>
    <n v="3"/>
    <n v="33"/>
    <n v="9"/>
    <n v="0"/>
    <n v="10"/>
    <n v="0"/>
    <x v="1"/>
  </r>
  <r>
    <n v="38"/>
    <x v="1"/>
    <s v="Travel_Rarely"/>
    <n v="1009"/>
    <x v="0"/>
    <n v="2"/>
    <x v="0"/>
    <x v="0"/>
    <n v="1"/>
    <n v="1355"/>
    <n v="2"/>
    <x v="0"/>
    <n v="31"/>
    <n v="3"/>
    <n v="2"/>
    <x v="0"/>
    <n v="1"/>
    <x v="2"/>
    <n v="6893"/>
    <n v="19461"/>
    <n v="3"/>
    <s v="Y"/>
    <s v="No"/>
    <n v="15"/>
    <n v="3"/>
    <n v="4"/>
    <n v="80"/>
    <n v="1"/>
    <n v="11"/>
    <n v="3"/>
    <n v="3"/>
    <n v="7"/>
    <n v="7"/>
    <n v="1"/>
    <n v="7"/>
    <n v="0"/>
    <x v="0"/>
  </r>
  <r>
    <n v="34"/>
    <x v="1"/>
    <s v="Travel_Rarely"/>
    <n v="507"/>
    <x v="0"/>
    <n v="15"/>
    <x v="0"/>
    <x v="2"/>
    <n v="1"/>
    <n v="1356"/>
    <n v="3"/>
    <x v="0"/>
    <n v="66"/>
    <n v="3"/>
    <n v="2"/>
    <x v="0"/>
    <n v="1"/>
    <x v="0"/>
    <n v="6125"/>
    <n v="23553"/>
    <n v="1"/>
    <s v="Y"/>
    <s v="No"/>
    <n v="12"/>
    <n v="3"/>
    <n v="4"/>
    <n v="80"/>
    <n v="0"/>
    <n v="10"/>
    <n v="6"/>
    <n v="4"/>
    <n v="10"/>
    <n v="8"/>
    <n v="9"/>
    <n v="6"/>
    <n v="0"/>
    <x v="2"/>
  </r>
  <r>
    <n v="25"/>
    <x v="1"/>
    <s v="Travel_Rarely"/>
    <n v="882"/>
    <x v="1"/>
    <n v="19"/>
    <x v="1"/>
    <x v="2"/>
    <n v="1"/>
    <n v="1358"/>
    <n v="4"/>
    <x v="1"/>
    <n v="67"/>
    <n v="3"/>
    <n v="1"/>
    <x v="2"/>
    <n v="4"/>
    <x v="1"/>
    <n v="3669"/>
    <n v="9075"/>
    <n v="3"/>
    <s v="Y"/>
    <s v="No"/>
    <n v="11"/>
    <n v="3"/>
    <n v="3"/>
    <n v="80"/>
    <n v="3"/>
    <n v="7"/>
    <n v="6"/>
    <n v="2"/>
    <n v="3"/>
    <n v="2"/>
    <n v="1"/>
    <n v="2"/>
    <n v="0"/>
    <x v="2"/>
  </r>
  <r>
    <n v="58"/>
    <x v="0"/>
    <s v="Travel_Rarely"/>
    <n v="601"/>
    <x v="1"/>
    <n v="7"/>
    <x v="2"/>
    <x v="2"/>
    <n v="1"/>
    <n v="1360"/>
    <n v="3"/>
    <x v="0"/>
    <n v="53"/>
    <n v="2"/>
    <n v="3"/>
    <x v="3"/>
    <n v="1"/>
    <x v="1"/>
    <n v="10008"/>
    <n v="12023"/>
    <n v="7"/>
    <s v="Y"/>
    <s v="Yes"/>
    <n v="14"/>
    <n v="3"/>
    <n v="4"/>
    <n v="80"/>
    <n v="0"/>
    <n v="31"/>
    <n v="0"/>
    <n v="2"/>
    <n v="10"/>
    <n v="9"/>
    <n v="5"/>
    <n v="9"/>
    <n v="1"/>
    <x v="3"/>
  </r>
  <r>
    <n v="40"/>
    <x v="1"/>
    <s v="Travel_Rarely"/>
    <n v="329"/>
    <x v="1"/>
    <n v="1"/>
    <x v="2"/>
    <x v="0"/>
    <n v="1"/>
    <n v="1361"/>
    <n v="2"/>
    <x v="1"/>
    <n v="88"/>
    <n v="3"/>
    <n v="1"/>
    <x v="2"/>
    <n v="2"/>
    <x v="1"/>
    <n v="2387"/>
    <n v="6762"/>
    <n v="3"/>
    <s v="Y"/>
    <s v="No"/>
    <n v="22"/>
    <n v="4"/>
    <n v="3"/>
    <n v="80"/>
    <n v="1"/>
    <n v="7"/>
    <n v="3"/>
    <n v="3"/>
    <n v="4"/>
    <n v="2"/>
    <n v="0"/>
    <n v="3"/>
    <n v="0"/>
    <x v="0"/>
  </r>
  <r>
    <n v="36"/>
    <x v="1"/>
    <s v="Travel_Frequently"/>
    <n v="607"/>
    <x v="0"/>
    <n v="7"/>
    <x v="3"/>
    <x v="3"/>
    <n v="1"/>
    <n v="1362"/>
    <n v="1"/>
    <x v="0"/>
    <n v="83"/>
    <n v="4"/>
    <n v="2"/>
    <x v="0"/>
    <n v="1"/>
    <x v="1"/>
    <n v="4639"/>
    <n v="2261"/>
    <n v="2"/>
    <s v="Y"/>
    <s v="No"/>
    <n v="16"/>
    <n v="3"/>
    <n v="4"/>
    <n v="80"/>
    <n v="1"/>
    <n v="17"/>
    <n v="2"/>
    <n v="2"/>
    <n v="15"/>
    <n v="7"/>
    <n v="6"/>
    <n v="13"/>
    <n v="0"/>
    <x v="0"/>
  </r>
  <r>
    <n v="48"/>
    <x v="1"/>
    <s v="Travel_Rarely"/>
    <n v="855"/>
    <x v="1"/>
    <n v="4"/>
    <x v="3"/>
    <x v="0"/>
    <n v="1"/>
    <n v="1363"/>
    <n v="4"/>
    <x v="1"/>
    <n v="54"/>
    <n v="3"/>
    <n v="3"/>
    <x v="3"/>
    <n v="4"/>
    <x v="0"/>
    <n v="7898"/>
    <n v="18706"/>
    <n v="1"/>
    <s v="Y"/>
    <s v="No"/>
    <n v="11"/>
    <n v="3"/>
    <n v="3"/>
    <n v="80"/>
    <n v="0"/>
    <n v="11"/>
    <n v="2"/>
    <n v="3"/>
    <n v="10"/>
    <n v="9"/>
    <n v="0"/>
    <n v="8"/>
    <n v="0"/>
    <x v="1"/>
  </r>
  <r>
    <n v="27"/>
    <x v="1"/>
    <s v="Travel_Rarely"/>
    <n v="1291"/>
    <x v="0"/>
    <n v="11"/>
    <x v="3"/>
    <x v="2"/>
    <n v="1"/>
    <n v="1364"/>
    <n v="3"/>
    <x v="0"/>
    <n v="98"/>
    <n v="4"/>
    <n v="1"/>
    <x v="6"/>
    <n v="4"/>
    <x v="1"/>
    <n v="2534"/>
    <n v="6527"/>
    <n v="8"/>
    <s v="Y"/>
    <s v="No"/>
    <n v="14"/>
    <n v="3"/>
    <n v="2"/>
    <n v="80"/>
    <n v="1"/>
    <n v="5"/>
    <n v="4"/>
    <n v="3"/>
    <n v="1"/>
    <n v="0"/>
    <n v="0"/>
    <n v="0"/>
    <n v="0"/>
    <x v="2"/>
  </r>
  <r>
    <n v="51"/>
    <x v="1"/>
    <s v="Travel_Rarely"/>
    <n v="1405"/>
    <x v="1"/>
    <n v="11"/>
    <x v="0"/>
    <x v="4"/>
    <n v="1"/>
    <n v="1367"/>
    <n v="4"/>
    <x v="0"/>
    <n v="82"/>
    <n v="2"/>
    <n v="4"/>
    <x v="3"/>
    <n v="2"/>
    <x v="0"/>
    <n v="13142"/>
    <n v="24439"/>
    <n v="3"/>
    <s v="Y"/>
    <s v="No"/>
    <n v="16"/>
    <n v="3"/>
    <n v="2"/>
    <n v="80"/>
    <n v="0"/>
    <n v="29"/>
    <n v="1"/>
    <n v="2"/>
    <n v="5"/>
    <n v="2"/>
    <n v="0"/>
    <n v="3"/>
    <n v="0"/>
    <x v="1"/>
  </r>
  <r>
    <n v="18"/>
    <x v="1"/>
    <s v="Non-Travel"/>
    <n v="1124"/>
    <x v="1"/>
    <n v="1"/>
    <x v="3"/>
    <x v="0"/>
    <n v="1"/>
    <n v="1368"/>
    <n v="4"/>
    <x v="0"/>
    <n v="97"/>
    <n v="3"/>
    <n v="1"/>
    <x v="2"/>
    <n v="4"/>
    <x v="0"/>
    <n v="1611"/>
    <n v="19305"/>
    <n v="1"/>
    <s v="Y"/>
    <s v="No"/>
    <n v="15"/>
    <n v="3"/>
    <n v="3"/>
    <n v="80"/>
    <n v="0"/>
    <n v="0"/>
    <n v="5"/>
    <n v="4"/>
    <n v="0"/>
    <n v="0"/>
    <n v="0"/>
    <n v="0"/>
    <n v="0"/>
    <x v="4"/>
  </r>
  <r>
    <n v="35"/>
    <x v="1"/>
    <s v="Travel_Rarely"/>
    <n v="817"/>
    <x v="1"/>
    <n v="1"/>
    <x v="3"/>
    <x v="2"/>
    <n v="1"/>
    <n v="1369"/>
    <n v="4"/>
    <x v="0"/>
    <n v="60"/>
    <n v="2"/>
    <n v="2"/>
    <x v="2"/>
    <n v="4"/>
    <x v="1"/>
    <n v="5363"/>
    <n v="10846"/>
    <n v="0"/>
    <s v="Y"/>
    <s v="No"/>
    <n v="12"/>
    <n v="3"/>
    <n v="2"/>
    <n v="80"/>
    <n v="1"/>
    <n v="10"/>
    <n v="0"/>
    <n v="3"/>
    <n v="9"/>
    <n v="7"/>
    <n v="0"/>
    <n v="0"/>
    <n v="0"/>
    <x v="0"/>
  </r>
  <r>
    <n v="27"/>
    <x v="1"/>
    <s v="Travel_Frequently"/>
    <n v="793"/>
    <x v="0"/>
    <n v="2"/>
    <x v="1"/>
    <x v="0"/>
    <n v="1"/>
    <n v="1371"/>
    <n v="4"/>
    <x v="1"/>
    <n v="43"/>
    <n v="1"/>
    <n v="2"/>
    <x v="0"/>
    <n v="4"/>
    <x v="0"/>
    <n v="5071"/>
    <n v="20392"/>
    <n v="3"/>
    <s v="Y"/>
    <s v="No"/>
    <n v="20"/>
    <n v="4"/>
    <n v="2"/>
    <n v="80"/>
    <n v="0"/>
    <n v="8"/>
    <n v="3"/>
    <n v="3"/>
    <n v="6"/>
    <n v="2"/>
    <n v="0"/>
    <n v="0"/>
    <n v="0"/>
    <x v="2"/>
  </r>
  <r>
    <n v="55"/>
    <x v="0"/>
    <s v="Travel_Rarely"/>
    <n v="267"/>
    <x v="0"/>
    <n v="13"/>
    <x v="2"/>
    <x v="3"/>
    <n v="1"/>
    <n v="1372"/>
    <n v="1"/>
    <x v="1"/>
    <n v="85"/>
    <n v="4"/>
    <n v="4"/>
    <x v="0"/>
    <n v="3"/>
    <x v="0"/>
    <n v="13695"/>
    <n v="9277"/>
    <n v="6"/>
    <s v="Y"/>
    <s v="Yes"/>
    <n v="17"/>
    <n v="3"/>
    <n v="3"/>
    <n v="80"/>
    <n v="0"/>
    <n v="24"/>
    <n v="2"/>
    <n v="2"/>
    <n v="19"/>
    <n v="7"/>
    <n v="3"/>
    <n v="8"/>
    <n v="1"/>
    <x v="3"/>
  </r>
  <r>
    <n v="56"/>
    <x v="1"/>
    <s v="Travel_Rarely"/>
    <n v="1369"/>
    <x v="1"/>
    <n v="23"/>
    <x v="3"/>
    <x v="0"/>
    <n v="1"/>
    <n v="1373"/>
    <n v="4"/>
    <x v="1"/>
    <n v="68"/>
    <n v="3"/>
    <n v="4"/>
    <x v="3"/>
    <n v="2"/>
    <x v="1"/>
    <n v="13402"/>
    <n v="18235"/>
    <n v="4"/>
    <s v="Y"/>
    <s v="Yes"/>
    <n v="12"/>
    <n v="3"/>
    <n v="1"/>
    <n v="80"/>
    <n v="1"/>
    <n v="33"/>
    <n v="0"/>
    <n v="3"/>
    <n v="19"/>
    <n v="16"/>
    <n v="15"/>
    <n v="9"/>
    <n v="0"/>
    <x v="3"/>
  </r>
  <r>
    <n v="34"/>
    <x v="1"/>
    <s v="Non-Travel"/>
    <n v="999"/>
    <x v="1"/>
    <n v="26"/>
    <x v="1"/>
    <x v="4"/>
    <n v="1"/>
    <n v="1374"/>
    <n v="1"/>
    <x v="0"/>
    <n v="92"/>
    <n v="2"/>
    <n v="1"/>
    <x v="1"/>
    <n v="3"/>
    <x v="2"/>
    <n v="2029"/>
    <n v="15891"/>
    <n v="1"/>
    <s v="Y"/>
    <s v="No"/>
    <n v="20"/>
    <n v="4"/>
    <n v="3"/>
    <n v="80"/>
    <n v="3"/>
    <n v="5"/>
    <n v="2"/>
    <n v="3"/>
    <n v="5"/>
    <n v="4"/>
    <n v="0"/>
    <n v="0"/>
    <n v="0"/>
    <x v="2"/>
  </r>
  <r>
    <n v="40"/>
    <x v="1"/>
    <s v="Travel_Rarely"/>
    <n v="1202"/>
    <x v="1"/>
    <n v="2"/>
    <x v="1"/>
    <x v="2"/>
    <n v="1"/>
    <n v="1375"/>
    <n v="2"/>
    <x v="0"/>
    <n v="89"/>
    <n v="4"/>
    <n v="2"/>
    <x v="4"/>
    <n v="3"/>
    <x v="2"/>
    <n v="6377"/>
    <n v="13888"/>
    <n v="5"/>
    <s v="Y"/>
    <s v="No"/>
    <n v="20"/>
    <n v="4"/>
    <n v="2"/>
    <n v="80"/>
    <n v="3"/>
    <n v="15"/>
    <n v="0"/>
    <n v="3"/>
    <n v="12"/>
    <n v="11"/>
    <n v="11"/>
    <n v="8"/>
    <n v="0"/>
    <x v="0"/>
  </r>
  <r>
    <n v="34"/>
    <x v="1"/>
    <s v="Travel_Rarely"/>
    <n v="285"/>
    <x v="1"/>
    <n v="29"/>
    <x v="3"/>
    <x v="2"/>
    <n v="1"/>
    <n v="1377"/>
    <n v="2"/>
    <x v="1"/>
    <n v="86"/>
    <n v="3"/>
    <n v="2"/>
    <x v="2"/>
    <n v="3"/>
    <x v="1"/>
    <n v="5429"/>
    <n v="17491"/>
    <n v="4"/>
    <s v="Y"/>
    <s v="No"/>
    <n v="13"/>
    <n v="3"/>
    <n v="1"/>
    <n v="80"/>
    <n v="2"/>
    <n v="10"/>
    <n v="1"/>
    <n v="3"/>
    <n v="8"/>
    <n v="7"/>
    <n v="7"/>
    <n v="7"/>
    <n v="0"/>
    <x v="2"/>
  </r>
  <r>
    <n v="31"/>
    <x v="0"/>
    <s v="Travel_Frequently"/>
    <n v="703"/>
    <x v="0"/>
    <n v="2"/>
    <x v="3"/>
    <x v="0"/>
    <n v="1"/>
    <n v="1379"/>
    <n v="3"/>
    <x v="0"/>
    <n v="90"/>
    <n v="2"/>
    <n v="1"/>
    <x v="6"/>
    <n v="4"/>
    <x v="0"/>
    <n v="2785"/>
    <n v="11882"/>
    <n v="7"/>
    <s v="Y"/>
    <s v="No"/>
    <n v="14"/>
    <n v="3"/>
    <n v="3"/>
    <n v="80"/>
    <n v="0"/>
    <n v="3"/>
    <n v="3"/>
    <n v="4"/>
    <n v="1"/>
    <n v="0"/>
    <n v="0"/>
    <n v="0"/>
    <n v="1"/>
    <x v="2"/>
  </r>
  <r>
    <n v="35"/>
    <x v="0"/>
    <s v="Travel_Frequently"/>
    <n v="662"/>
    <x v="0"/>
    <n v="18"/>
    <x v="2"/>
    <x v="3"/>
    <n v="1"/>
    <n v="1380"/>
    <n v="4"/>
    <x v="0"/>
    <n v="67"/>
    <n v="3"/>
    <n v="2"/>
    <x v="0"/>
    <n v="3"/>
    <x v="1"/>
    <n v="4614"/>
    <n v="23288"/>
    <n v="0"/>
    <s v="Y"/>
    <s v="Yes"/>
    <n v="18"/>
    <n v="3"/>
    <n v="3"/>
    <n v="80"/>
    <n v="1"/>
    <n v="5"/>
    <n v="0"/>
    <n v="2"/>
    <n v="4"/>
    <n v="2"/>
    <n v="3"/>
    <n v="2"/>
    <n v="1"/>
    <x v="0"/>
  </r>
  <r>
    <n v="38"/>
    <x v="1"/>
    <s v="Travel_Frequently"/>
    <n v="693"/>
    <x v="1"/>
    <n v="7"/>
    <x v="3"/>
    <x v="0"/>
    <n v="1"/>
    <n v="1382"/>
    <n v="4"/>
    <x v="1"/>
    <n v="57"/>
    <n v="4"/>
    <n v="1"/>
    <x v="1"/>
    <n v="3"/>
    <x v="2"/>
    <n v="2610"/>
    <n v="15748"/>
    <n v="1"/>
    <s v="Y"/>
    <s v="No"/>
    <n v="11"/>
    <n v="3"/>
    <n v="4"/>
    <n v="80"/>
    <n v="3"/>
    <n v="4"/>
    <n v="2"/>
    <n v="3"/>
    <n v="4"/>
    <n v="2"/>
    <n v="0"/>
    <n v="3"/>
    <n v="0"/>
    <x v="0"/>
  </r>
  <r>
    <n v="34"/>
    <x v="1"/>
    <s v="Travel_Rarely"/>
    <n v="404"/>
    <x v="1"/>
    <n v="2"/>
    <x v="2"/>
    <x v="4"/>
    <n v="1"/>
    <n v="1383"/>
    <n v="3"/>
    <x v="0"/>
    <n v="98"/>
    <n v="3"/>
    <n v="2"/>
    <x v="4"/>
    <n v="4"/>
    <x v="0"/>
    <n v="6687"/>
    <n v="6163"/>
    <n v="1"/>
    <s v="Y"/>
    <s v="No"/>
    <n v="11"/>
    <n v="3"/>
    <n v="4"/>
    <n v="80"/>
    <n v="0"/>
    <n v="14"/>
    <n v="2"/>
    <n v="4"/>
    <n v="14"/>
    <n v="11"/>
    <n v="4"/>
    <n v="11"/>
    <n v="0"/>
    <x v="2"/>
  </r>
  <r>
    <n v="28"/>
    <x v="1"/>
    <s v="Travel_Rarely"/>
    <n v="736"/>
    <x v="0"/>
    <n v="26"/>
    <x v="3"/>
    <x v="0"/>
    <n v="1"/>
    <n v="1387"/>
    <n v="3"/>
    <x v="1"/>
    <n v="48"/>
    <n v="2"/>
    <n v="2"/>
    <x v="0"/>
    <n v="1"/>
    <x v="1"/>
    <n v="4724"/>
    <n v="24232"/>
    <n v="1"/>
    <s v="Y"/>
    <s v="No"/>
    <n v="11"/>
    <n v="3"/>
    <n v="3"/>
    <n v="80"/>
    <n v="1"/>
    <n v="5"/>
    <n v="0"/>
    <n v="3"/>
    <n v="5"/>
    <n v="3"/>
    <n v="0"/>
    <n v="4"/>
    <n v="0"/>
    <x v="2"/>
  </r>
  <r>
    <n v="31"/>
    <x v="0"/>
    <s v="Travel_Rarely"/>
    <n v="330"/>
    <x v="1"/>
    <n v="22"/>
    <x v="2"/>
    <x v="2"/>
    <n v="1"/>
    <n v="1389"/>
    <n v="4"/>
    <x v="1"/>
    <n v="98"/>
    <n v="3"/>
    <n v="2"/>
    <x v="3"/>
    <n v="3"/>
    <x v="1"/>
    <n v="6179"/>
    <n v="21057"/>
    <n v="1"/>
    <s v="Y"/>
    <s v="Yes"/>
    <n v="15"/>
    <n v="3"/>
    <n v="4"/>
    <n v="80"/>
    <n v="2"/>
    <n v="10"/>
    <n v="3"/>
    <n v="2"/>
    <n v="10"/>
    <n v="2"/>
    <n v="6"/>
    <n v="7"/>
    <n v="1"/>
    <x v="2"/>
  </r>
  <r>
    <n v="39"/>
    <x v="1"/>
    <s v="Travel_Rarely"/>
    <n v="1498"/>
    <x v="0"/>
    <n v="21"/>
    <x v="2"/>
    <x v="0"/>
    <n v="1"/>
    <n v="1390"/>
    <n v="1"/>
    <x v="1"/>
    <n v="44"/>
    <n v="2"/>
    <n v="2"/>
    <x v="0"/>
    <n v="4"/>
    <x v="1"/>
    <n v="6120"/>
    <n v="3567"/>
    <n v="3"/>
    <s v="Y"/>
    <s v="Yes"/>
    <n v="12"/>
    <n v="3"/>
    <n v="4"/>
    <n v="80"/>
    <n v="2"/>
    <n v="8"/>
    <n v="2"/>
    <n v="4"/>
    <n v="5"/>
    <n v="4"/>
    <n v="1"/>
    <n v="4"/>
    <n v="0"/>
    <x v="0"/>
  </r>
  <r>
    <n v="51"/>
    <x v="1"/>
    <s v="Travel_Frequently"/>
    <n v="541"/>
    <x v="0"/>
    <n v="2"/>
    <x v="3"/>
    <x v="3"/>
    <n v="1"/>
    <n v="1391"/>
    <n v="2"/>
    <x v="1"/>
    <n v="52"/>
    <n v="3"/>
    <n v="3"/>
    <x v="0"/>
    <n v="2"/>
    <x v="1"/>
    <n v="10596"/>
    <n v="15395"/>
    <n v="2"/>
    <s v="Y"/>
    <s v="No"/>
    <n v="11"/>
    <n v="3"/>
    <n v="2"/>
    <n v="80"/>
    <n v="0"/>
    <n v="14"/>
    <n v="5"/>
    <n v="3"/>
    <n v="4"/>
    <n v="2"/>
    <n v="3"/>
    <n v="2"/>
    <n v="0"/>
    <x v="1"/>
  </r>
  <r>
    <n v="41"/>
    <x v="1"/>
    <s v="Travel_Frequently"/>
    <n v="1200"/>
    <x v="1"/>
    <n v="22"/>
    <x v="3"/>
    <x v="0"/>
    <n v="1"/>
    <n v="1392"/>
    <n v="4"/>
    <x v="0"/>
    <n v="75"/>
    <n v="3"/>
    <n v="2"/>
    <x v="1"/>
    <n v="4"/>
    <x v="2"/>
    <n v="5467"/>
    <n v="13953"/>
    <n v="3"/>
    <s v="Y"/>
    <s v="Yes"/>
    <n v="14"/>
    <n v="3"/>
    <n v="1"/>
    <n v="80"/>
    <n v="2"/>
    <n v="12"/>
    <n v="4"/>
    <n v="2"/>
    <n v="6"/>
    <n v="2"/>
    <n v="3"/>
    <n v="3"/>
    <n v="0"/>
    <x v="0"/>
  </r>
  <r>
    <n v="37"/>
    <x v="1"/>
    <s v="Travel_Rarely"/>
    <n v="1439"/>
    <x v="1"/>
    <n v="4"/>
    <x v="1"/>
    <x v="0"/>
    <n v="1"/>
    <n v="1394"/>
    <n v="3"/>
    <x v="1"/>
    <n v="54"/>
    <n v="3"/>
    <n v="1"/>
    <x v="1"/>
    <n v="3"/>
    <x v="1"/>
    <n v="2996"/>
    <n v="5182"/>
    <n v="7"/>
    <s v="Y"/>
    <s v="Yes"/>
    <n v="15"/>
    <n v="3"/>
    <n v="4"/>
    <n v="80"/>
    <n v="0"/>
    <n v="8"/>
    <n v="2"/>
    <n v="3"/>
    <n v="6"/>
    <n v="4"/>
    <n v="1"/>
    <n v="3"/>
    <n v="0"/>
    <x v="0"/>
  </r>
  <r>
    <n v="33"/>
    <x v="1"/>
    <s v="Travel_Frequently"/>
    <n v="1111"/>
    <x v="0"/>
    <n v="5"/>
    <x v="1"/>
    <x v="0"/>
    <n v="1"/>
    <n v="1395"/>
    <n v="2"/>
    <x v="1"/>
    <n v="61"/>
    <n v="3"/>
    <n v="2"/>
    <x v="0"/>
    <n v="4"/>
    <x v="1"/>
    <n v="9998"/>
    <n v="19293"/>
    <n v="6"/>
    <s v="Y"/>
    <s v="No"/>
    <n v="13"/>
    <n v="3"/>
    <n v="1"/>
    <n v="80"/>
    <n v="0"/>
    <n v="8"/>
    <n v="2"/>
    <n v="4"/>
    <n v="5"/>
    <n v="4"/>
    <n v="1"/>
    <n v="2"/>
    <n v="0"/>
    <x v="2"/>
  </r>
  <r>
    <n v="32"/>
    <x v="1"/>
    <s v="Travel_Rarely"/>
    <n v="499"/>
    <x v="0"/>
    <n v="2"/>
    <x v="1"/>
    <x v="3"/>
    <n v="1"/>
    <n v="1396"/>
    <n v="3"/>
    <x v="1"/>
    <n v="36"/>
    <n v="3"/>
    <n v="2"/>
    <x v="0"/>
    <n v="2"/>
    <x v="1"/>
    <n v="4078"/>
    <n v="20497"/>
    <n v="0"/>
    <s v="Y"/>
    <s v="Yes"/>
    <n v="13"/>
    <n v="3"/>
    <n v="1"/>
    <n v="80"/>
    <n v="3"/>
    <n v="4"/>
    <n v="3"/>
    <n v="2"/>
    <n v="3"/>
    <n v="2"/>
    <n v="1"/>
    <n v="2"/>
    <n v="0"/>
    <x v="2"/>
  </r>
  <r>
    <n v="39"/>
    <x v="1"/>
    <s v="Non-Travel"/>
    <n v="1485"/>
    <x v="1"/>
    <n v="25"/>
    <x v="0"/>
    <x v="0"/>
    <n v="1"/>
    <n v="1397"/>
    <n v="3"/>
    <x v="1"/>
    <n v="71"/>
    <n v="3"/>
    <n v="3"/>
    <x v="4"/>
    <n v="3"/>
    <x v="1"/>
    <n v="10920"/>
    <n v="3449"/>
    <n v="3"/>
    <s v="Y"/>
    <s v="No"/>
    <n v="21"/>
    <n v="4"/>
    <n v="2"/>
    <n v="80"/>
    <n v="1"/>
    <n v="13"/>
    <n v="2"/>
    <n v="3"/>
    <n v="6"/>
    <n v="4"/>
    <n v="0"/>
    <n v="5"/>
    <n v="0"/>
    <x v="0"/>
  </r>
  <r>
    <n v="25"/>
    <x v="1"/>
    <s v="Travel_Rarely"/>
    <n v="1372"/>
    <x v="0"/>
    <n v="18"/>
    <x v="1"/>
    <x v="0"/>
    <n v="1"/>
    <n v="1399"/>
    <n v="1"/>
    <x v="1"/>
    <n v="93"/>
    <n v="4"/>
    <n v="2"/>
    <x v="0"/>
    <n v="3"/>
    <x v="1"/>
    <n v="6232"/>
    <n v="12477"/>
    <n v="2"/>
    <s v="Y"/>
    <s v="No"/>
    <n v="11"/>
    <n v="3"/>
    <n v="2"/>
    <n v="80"/>
    <n v="0"/>
    <n v="6"/>
    <n v="3"/>
    <n v="2"/>
    <n v="3"/>
    <n v="2"/>
    <n v="1"/>
    <n v="2"/>
    <n v="0"/>
    <x v="2"/>
  </r>
  <r>
    <n v="52"/>
    <x v="1"/>
    <s v="Travel_Frequently"/>
    <n v="322"/>
    <x v="1"/>
    <n v="28"/>
    <x v="0"/>
    <x v="2"/>
    <n v="1"/>
    <n v="1401"/>
    <n v="4"/>
    <x v="0"/>
    <n v="59"/>
    <n v="4"/>
    <n v="4"/>
    <x v="3"/>
    <n v="3"/>
    <x v="1"/>
    <n v="13247"/>
    <n v="9731"/>
    <n v="2"/>
    <s v="Y"/>
    <s v="Yes"/>
    <n v="11"/>
    <n v="3"/>
    <n v="2"/>
    <n v="80"/>
    <n v="1"/>
    <n v="24"/>
    <n v="3"/>
    <n v="2"/>
    <n v="5"/>
    <n v="3"/>
    <n v="0"/>
    <n v="2"/>
    <n v="0"/>
    <x v="1"/>
  </r>
  <r>
    <n v="43"/>
    <x v="1"/>
    <s v="Travel_Rarely"/>
    <n v="930"/>
    <x v="1"/>
    <n v="6"/>
    <x v="3"/>
    <x v="2"/>
    <n v="1"/>
    <n v="1402"/>
    <n v="1"/>
    <x v="0"/>
    <n v="73"/>
    <n v="2"/>
    <n v="2"/>
    <x v="1"/>
    <n v="3"/>
    <x v="0"/>
    <n v="4081"/>
    <n v="20003"/>
    <n v="1"/>
    <s v="Y"/>
    <s v="Yes"/>
    <n v="14"/>
    <n v="3"/>
    <n v="1"/>
    <n v="80"/>
    <n v="0"/>
    <n v="20"/>
    <n v="3"/>
    <n v="1"/>
    <n v="20"/>
    <n v="7"/>
    <n v="1"/>
    <n v="8"/>
    <n v="0"/>
    <x v="0"/>
  </r>
  <r>
    <n v="27"/>
    <x v="1"/>
    <s v="Travel_Rarely"/>
    <n v="205"/>
    <x v="0"/>
    <n v="10"/>
    <x v="3"/>
    <x v="3"/>
    <n v="1"/>
    <n v="1403"/>
    <n v="4"/>
    <x v="0"/>
    <n v="98"/>
    <n v="2"/>
    <n v="2"/>
    <x v="0"/>
    <n v="4"/>
    <x v="1"/>
    <n v="5769"/>
    <n v="7100"/>
    <n v="1"/>
    <s v="Y"/>
    <s v="Yes"/>
    <n v="11"/>
    <n v="3"/>
    <n v="4"/>
    <n v="80"/>
    <n v="0"/>
    <n v="6"/>
    <n v="3"/>
    <n v="3"/>
    <n v="6"/>
    <n v="2"/>
    <n v="4"/>
    <n v="4"/>
    <n v="0"/>
    <x v="2"/>
  </r>
  <r>
    <n v="27"/>
    <x v="0"/>
    <s v="Travel_Rarely"/>
    <n v="135"/>
    <x v="1"/>
    <n v="17"/>
    <x v="2"/>
    <x v="0"/>
    <n v="1"/>
    <n v="1405"/>
    <n v="4"/>
    <x v="0"/>
    <n v="51"/>
    <n v="3"/>
    <n v="1"/>
    <x v="1"/>
    <n v="3"/>
    <x v="0"/>
    <n v="2394"/>
    <n v="25681"/>
    <n v="1"/>
    <s v="Y"/>
    <s v="Yes"/>
    <n v="13"/>
    <n v="3"/>
    <n v="4"/>
    <n v="80"/>
    <n v="0"/>
    <n v="8"/>
    <n v="2"/>
    <n v="3"/>
    <n v="8"/>
    <n v="2"/>
    <n v="7"/>
    <n v="7"/>
    <n v="1"/>
    <x v="2"/>
  </r>
  <r>
    <n v="26"/>
    <x v="1"/>
    <s v="Travel_Rarely"/>
    <n v="683"/>
    <x v="1"/>
    <n v="2"/>
    <x v="1"/>
    <x v="2"/>
    <n v="1"/>
    <n v="1407"/>
    <n v="1"/>
    <x v="1"/>
    <n v="36"/>
    <n v="2"/>
    <n v="1"/>
    <x v="1"/>
    <n v="4"/>
    <x v="0"/>
    <n v="3904"/>
    <n v="4050"/>
    <n v="0"/>
    <s v="Y"/>
    <s v="No"/>
    <n v="12"/>
    <n v="3"/>
    <n v="4"/>
    <n v="80"/>
    <n v="0"/>
    <n v="5"/>
    <n v="2"/>
    <n v="3"/>
    <n v="4"/>
    <n v="3"/>
    <n v="1"/>
    <n v="1"/>
    <n v="0"/>
    <x v="2"/>
  </r>
  <r>
    <n v="42"/>
    <x v="1"/>
    <s v="Travel_Rarely"/>
    <n v="1147"/>
    <x v="2"/>
    <n v="10"/>
    <x v="3"/>
    <x v="5"/>
    <n v="1"/>
    <n v="1408"/>
    <n v="3"/>
    <x v="0"/>
    <n v="31"/>
    <n v="3"/>
    <n v="4"/>
    <x v="5"/>
    <n v="1"/>
    <x v="1"/>
    <n v="16799"/>
    <n v="16616"/>
    <n v="0"/>
    <s v="Y"/>
    <s v="No"/>
    <n v="14"/>
    <n v="3"/>
    <n v="3"/>
    <n v="80"/>
    <n v="1"/>
    <n v="21"/>
    <n v="5"/>
    <n v="3"/>
    <n v="20"/>
    <n v="7"/>
    <n v="0"/>
    <n v="9"/>
    <n v="0"/>
    <x v="0"/>
  </r>
  <r>
    <n v="52"/>
    <x v="1"/>
    <s v="Travel_Rarely"/>
    <n v="258"/>
    <x v="1"/>
    <n v="8"/>
    <x v="2"/>
    <x v="1"/>
    <n v="1"/>
    <n v="1409"/>
    <n v="3"/>
    <x v="0"/>
    <n v="54"/>
    <n v="3"/>
    <n v="1"/>
    <x v="2"/>
    <n v="1"/>
    <x v="1"/>
    <n v="2950"/>
    <n v="17363"/>
    <n v="9"/>
    <s v="Y"/>
    <s v="No"/>
    <n v="13"/>
    <n v="3"/>
    <n v="3"/>
    <n v="80"/>
    <n v="0"/>
    <n v="12"/>
    <n v="2"/>
    <n v="1"/>
    <n v="5"/>
    <n v="4"/>
    <n v="0"/>
    <n v="4"/>
    <n v="0"/>
    <x v="1"/>
  </r>
  <r>
    <n v="37"/>
    <x v="1"/>
    <s v="Travel_Rarely"/>
    <n v="1462"/>
    <x v="1"/>
    <n v="11"/>
    <x v="3"/>
    <x v="2"/>
    <n v="1"/>
    <n v="1411"/>
    <n v="1"/>
    <x v="0"/>
    <n v="94"/>
    <n v="3"/>
    <n v="1"/>
    <x v="2"/>
    <n v="3"/>
    <x v="0"/>
    <n v="3629"/>
    <n v="19106"/>
    <n v="4"/>
    <s v="Y"/>
    <s v="No"/>
    <n v="18"/>
    <n v="3"/>
    <n v="1"/>
    <n v="80"/>
    <n v="0"/>
    <n v="8"/>
    <n v="6"/>
    <n v="3"/>
    <n v="3"/>
    <n v="2"/>
    <n v="0"/>
    <n v="2"/>
    <n v="0"/>
    <x v="0"/>
  </r>
  <r>
    <n v="35"/>
    <x v="1"/>
    <s v="Travel_Frequently"/>
    <n v="200"/>
    <x v="1"/>
    <n v="18"/>
    <x v="0"/>
    <x v="0"/>
    <n v="1"/>
    <n v="1412"/>
    <n v="3"/>
    <x v="1"/>
    <n v="60"/>
    <n v="3"/>
    <n v="3"/>
    <x v="3"/>
    <n v="4"/>
    <x v="0"/>
    <n v="9362"/>
    <n v="19944"/>
    <n v="2"/>
    <s v="Y"/>
    <s v="No"/>
    <n v="11"/>
    <n v="3"/>
    <n v="3"/>
    <n v="80"/>
    <n v="0"/>
    <n v="10"/>
    <n v="2"/>
    <n v="3"/>
    <n v="2"/>
    <n v="2"/>
    <n v="2"/>
    <n v="2"/>
    <n v="0"/>
    <x v="0"/>
  </r>
  <r>
    <n v="25"/>
    <x v="1"/>
    <s v="Travel_Rarely"/>
    <n v="949"/>
    <x v="1"/>
    <n v="1"/>
    <x v="3"/>
    <x v="4"/>
    <n v="1"/>
    <n v="1415"/>
    <n v="1"/>
    <x v="1"/>
    <n v="81"/>
    <n v="3"/>
    <n v="1"/>
    <x v="2"/>
    <n v="4"/>
    <x v="1"/>
    <n v="3229"/>
    <n v="4910"/>
    <n v="4"/>
    <s v="Y"/>
    <s v="No"/>
    <n v="11"/>
    <n v="3"/>
    <n v="2"/>
    <n v="80"/>
    <n v="1"/>
    <n v="7"/>
    <n v="2"/>
    <n v="2"/>
    <n v="3"/>
    <n v="2"/>
    <n v="0"/>
    <n v="2"/>
    <n v="0"/>
    <x v="2"/>
  </r>
  <r>
    <n v="26"/>
    <x v="1"/>
    <s v="Travel_Rarely"/>
    <n v="652"/>
    <x v="1"/>
    <n v="7"/>
    <x v="3"/>
    <x v="1"/>
    <n v="1"/>
    <n v="1417"/>
    <n v="3"/>
    <x v="1"/>
    <n v="100"/>
    <n v="4"/>
    <n v="1"/>
    <x v="2"/>
    <n v="1"/>
    <x v="0"/>
    <n v="3578"/>
    <n v="23577"/>
    <n v="0"/>
    <s v="Y"/>
    <s v="No"/>
    <n v="12"/>
    <n v="3"/>
    <n v="4"/>
    <n v="80"/>
    <n v="0"/>
    <n v="8"/>
    <n v="2"/>
    <n v="3"/>
    <n v="7"/>
    <n v="7"/>
    <n v="0"/>
    <n v="7"/>
    <n v="0"/>
    <x v="2"/>
  </r>
  <r>
    <n v="29"/>
    <x v="1"/>
    <s v="Travel_Rarely"/>
    <n v="332"/>
    <x v="2"/>
    <n v="17"/>
    <x v="3"/>
    <x v="1"/>
    <n v="1"/>
    <n v="1419"/>
    <n v="2"/>
    <x v="1"/>
    <n v="51"/>
    <n v="2"/>
    <n v="3"/>
    <x v="8"/>
    <n v="1"/>
    <x v="0"/>
    <n v="7988"/>
    <n v="9769"/>
    <n v="1"/>
    <s v="Y"/>
    <s v="No"/>
    <n v="13"/>
    <n v="3"/>
    <n v="1"/>
    <n v="80"/>
    <n v="0"/>
    <n v="10"/>
    <n v="3"/>
    <n v="2"/>
    <n v="10"/>
    <n v="9"/>
    <n v="0"/>
    <n v="9"/>
    <n v="0"/>
    <x v="2"/>
  </r>
  <r>
    <n v="49"/>
    <x v="0"/>
    <s v="Travel_Frequently"/>
    <n v="1475"/>
    <x v="1"/>
    <n v="28"/>
    <x v="0"/>
    <x v="0"/>
    <n v="1"/>
    <n v="1420"/>
    <n v="1"/>
    <x v="1"/>
    <n v="97"/>
    <n v="2"/>
    <n v="2"/>
    <x v="2"/>
    <n v="1"/>
    <x v="0"/>
    <n v="4284"/>
    <n v="22710"/>
    <n v="3"/>
    <s v="Y"/>
    <s v="No"/>
    <n v="20"/>
    <n v="4"/>
    <n v="1"/>
    <n v="80"/>
    <n v="0"/>
    <n v="20"/>
    <n v="2"/>
    <n v="3"/>
    <n v="4"/>
    <n v="3"/>
    <n v="1"/>
    <n v="3"/>
    <n v="1"/>
    <x v="1"/>
  </r>
  <r>
    <n v="29"/>
    <x v="0"/>
    <s v="Travel_Frequently"/>
    <n v="337"/>
    <x v="1"/>
    <n v="14"/>
    <x v="1"/>
    <x v="1"/>
    <n v="1"/>
    <n v="1421"/>
    <n v="3"/>
    <x v="0"/>
    <n v="84"/>
    <n v="3"/>
    <n v="3"/>
    <x v="4"/>
    <n v="4"/>
    <x v="0"/>
    <n v="7553"/>
    <n v="22930"/>
    <n v="0"/>
    <s v="Y"/>
    <s v="Yes"/>
    <n v="12"/>
    <n v="3"/>
    <n v="1"/>
    <n v="80"/>
    <n v="0"/>
    <n v="9"/>
    <n v="1"/>
    <n v="3"/>
    <n v="8"/>
    <n v="7"/>
    <n v="7"/>
    <n v="7"/>
    <n v="1"/>
    <x v="2"/>
  </r>
  <r>
    <n v="54"/>
    <x v="1"/>
    <s v="Travel_Rarely"/>
    <n v="971"/>
    <x v="1"/>
    <n v="1"/>
    <x v="3"/>
    <x v="2"/>
    <n v="1"/>
    <n v="1422"/>
    <n v="4"/>
    <x v="0"/>
    <n v="54"/>
    <n v="3"/>
    <n v="4"/>
    <x v="7"/>
    <n v="4"/>
    <x v="0"/>
    <n v="17328"/>
    <n v="5652"/>
    <n v="6"/>
    <s v="Y"/>
    <s v="No"/>
    <n v="19"/>
    <n v="3"/>
    <n v="4"/>
    <n v="80"/>
    <n v="0"/>
    <n v="29"/>
    <n v="3"/>
    <n v="2"/>
    <n v="20"/>
    <n v="7"/>
    <n v="12"/>
    <n v="7"/>
    <n v="0"/>
    <x v="1"/>
  </r>
  <r>
    <n v="58"/>
    <x v="1"/>
    <s v="Travel_Rarely"/>
    <n v="1055"/>
    <x v="1"/>
    <n v="1"/>
    <x v="3"/>
    <x v="2"/>
    <n v="1"/>
    <n v="1423"/>
    <n v="4"/>
    <x v="0"/>
    <n v="76"/>
    <n v="3"/>
    <n v="5"/>
    <x v="7"/>
    <n v="1"/>
    <x v="1"/>
    <n v="19701"/>
    <n v="22456"/>
    <n v="3"/>
    <s v="Y"/>
    <s v="Yes"/>
    <n v="21"/>
    <n v="4"/>
    <n v="3"/>
    <n v="80"/>
    <n v="1"/>
    <n v="32"/>
    <n v="3"/>
    <n v="3"/>
    <n v="9"/>
    <n v="8"/>
    <n v="1"/>
    <n v="5"/>
    <n v="0"/>
    <x v="3"/>
  </r>
  <r>
    <n v="55"/>
    <x v="1"/>
    <s v="Travel_Rarely"/>
    <n v="1136"/>
    <x v="1"/>
    <n v="1"/>
    <x v="2"/>
    <x v="2"/>
    <n v="1"/>
    <n v="1424"/>
    <n v="2"/>
    <x v="1"/>
    <n v="81"/>
    <n v="4"/>
    <n v="4"/>
    <x v="7"/>
    <n v="4"/>
    <x v="2"/>
    <n v="14732"/>
    <n v="12414"/>
    <n v="2"/>
    <s v="Y"/>
    <s v="No"/>
    <n v="13"/>
    <n v="3"/>
    <n v="4"/>
    <n v="80"/>
    <n v="2"/>
    <n v="31"/>
    <n v="4"/>
    <n v="4"/>
    <n v="7"/>
    <n v="7"/>
    <n v="0"/>
    <n v="0"/>
    <n v="0"/>
    <x v="3"/>
  </r>
  <r>
    <n v="36"/>
    <x v="1"/>
    <s v="Travel_Rarely"/>
    <n v="1174"/>
    <x v="0"/>
    <n v="3"/>
    <x v="2"/>
    <x v="3"/>
    <n v="1"/>
    <n v="1425"/>
    <n v="1"/>
    <x v="0"/>
    <n v="99"/>
    <n v="3"/>
    <n v="2"/>
    <x v="0"/>
    <n v="2"/>
    <x v="0"/>
    <n v="9278"/>
    <n v="20763"/>
    <n v="3"/>
    <s v="Y"/>
    <s v="Yes"/>
    <n v="16"/>
    <n v="3"/>
    <n v="4"/>
    <n v="80"/>
    <n v="0"/>
    <n v="15"/>
    <n v="3"/>
    <n v="3"/>
    <n v="5"/>
    <n v="4"/>
    <n v="0"/>
    <n v="1"/>
    <n v="0"/>
    <x v="0"/>
  </r>
  <r>
    <n v="31"/>
    <x v="0"/>
    <s v="Travel_Frequently"/>
    <n v="667"/>
    <x v="0"/>
    <n v="1"/>
    <x v="2"/>
    <x v="0"/>
    <n v="1"/>
    <n v="1427"/>
    <n v="2"/>
    <x v="0"/>
    <n v="50"/>
    <n v="1"/>
    <n v="1"/>
    <x v="6"/>
    <n v="3"/>
    <x v="0"/>
    <n v="1359"/>
    <n v="16154"/>
    <n v="1"/>
    <s v="Y"/>
    <s v="No"/>
    <n v="12"/>
    <n v="3"/>
    <n v="2"/>
    <n v="80"/>
    <n v="0"/>
    <n v="1"/>
    <n v="3"/>
    <n v="3"/>
    <n v="1"/>
    <n v="0"/>
    <n v="0"/>
    <n v="0"/>
    <n v="1"/>
    <x v="2"/>
  </r>
  <r>
    <n v="30"/>
    <x v="1"/>
    <s v="Travel_Rarely"/>
    <n v="855"/>
    <x v="0"/>
    <n v="7"/>
    <x v="2"/>
    <x v="3"/>
    <n v="1"/>
    <n v="1428"/>
    <n v="4"/>
    <x v="0"/>
    <n v="73"/>
    <n v="3"/>
    <n v="2"/>
    <x v="0"/>
    <n v="1"/>
    <x v="2"/>
    <n v="4779"/>
    <n v="12761"/>
    <n v="7"/>
    <s v="Y"/>
    <s v="No"/>
    <n v="14"/>
    <n v="3"/>
    <n v="2"/>
    <n v="80"/>
    <n v="2"/>
    <n v="8"/>
    <n v="3"/>
    <n v="3"/>
    <n v="3"/>
    <n v="2"/>
    <n v="0"/>
    <n v="2"/>
    <n v="0"/>
    <x v="2"/>
  </r>
  <r>
    <n v="31"/>
    <x v="1"/>
    <s v="Travel_Rarely"/>
    <n v="182"/>
    <x v="1"/>
    <n v="8"/>
    <x v="4"/>
    <x v="0"/>
    <n v="1"/>
    <n v="1430"/>
    <n v="1"/>
    <x v="0"/>
    <n v="93"/>
    <n v="3"/>
    <n v="4"/>
    <x v="7"/>
    <n v="2"/>
    <x v="0"/>
    <n v="16422"/>
    <n v="8847"/>
    <n v="3"/>
    <s v="Y"/>
    <s v="No"/>
    <n v="11"/>
    <n v="3"/>
    <n v="3"/>
    <n v="80"/>
    <n v="0"/>
    <n v="9"/>
    <n v="3"/>
    <n v="4"/>
    <n v="3"/>
    <n v="2"/>
    <n v="1"/>
    <n v="0"/>
    <n v="0"/>
    <x v="2"/>
  </r>
  <r>
    <n v="34"/>
    <x v="1"/>
    <s v="Travel_Frequently"/>
    <n v="560"/>
    <x v="1"/>
    <n v="1"/>
    <x v="2"/>
    <x v="1"/>
    <n v="1"/>
    <n v="1431"/>
    <n v="4"/>
    <x v="1"/>
    <n v="91"/>
    <n v="3"/>
    <n v="1"/>
    <x v="1"/>
    <n v="1"/>
    <x v="2"/>
    <n v="2996"/>
    <n v="20284"/>
    <n v="5"/>
    <s v="Y"/>
    <s v="No"/>
    <n v="14"/>
    <n v="3"/>
    <n v="3"/>
    <n v="80"/>
    <n v="2"/>
    <n v="10"/>
    <n v="2"/>
    <n v="3"/>
    <n v="4"/>
    <n v="3"/>
    <n v="1"/>
    <n v="3"/>
    <n v="0"/>
    <x v="2"/>
  </r>
  <r>
    <n v="31"/>
    <x v="0"/>
    <s v="Travel_Rarely"/>
    <n v="202"/>
    <x v="1"/>
    <n v="8"/>
    <x v="3"/>
    <x v="0"/>
    <n v="1"/>
    <n v="1433"/>
    <n v="1"/>
    <x v="0"/>
    <n v="34"/>
    <n v="2"/>
    <n v="1"/>
    <x v="1"/>
    <n v="2"/>
    <x v="0"/>
    <n v="1261"/>
    <n v="22262"/>
    <n v="1"/>
    <s v="Y"/>
    <s v="No"/>
    <n v="12"/>
    <n v="3"/>
    <n v="3"/>
    <n v="80"/>
    <n v="0"/>
    <n v="1"/>
    <n v="3"/>
    <n v="4"/>
    <n v="1"/>
    <n v="0"/>
    <n v="0"/>
    <n v="0"/>
    <n v="1"/>
    <x v="2"/>
  </r>
  <r>
    <n v="27"/>
    <x v="1"/>
    <s v="Travel_Rarely"/>
    <n v="1377"/>
    <x v="1"/>
    <n v="11"/>
    <x v="1"/>
    <x v="0"/>
    <n v="1"/>
    <n v="1434"/>
    <n v="2"/>
    <x v="1"/>
    <n v="91"/>
    <n v="3"/>
    <n v="1"/>
    <x v="2"/>
    <n v="1"/>
    <x v="1"/>
    <n v="2099"/>
    <n v="7679"/>
    <n v="0"/>
    <s v="Y"/>
    <s v="No"/>
    <n v="14"/>
    <n v="3"/>
    <n v="2"/>
    <n v="80"/>
    <n v="0"/>
    <n v="6"/>
    <n v="3"/>
    <n v="4"/>
    <n v="5"/>
    <n v="0"/>
    <n v="1"/>
    <n v="4"/>
    <n v="0"/>
    <x v="2"/>
  </r>
  <r>
    <n v="36"/>
    <x v="1"/>
    <s v="Travel_Rarely"/>
    <n v="172"/>
    <x v="1"/>
    <n v="4"/>
    <x v="2"/>
    <x v="0"/>
    <n v="1"/>
    <n v="1435"/>
    <n v="1"/>
    <x v="1"/>
    <n v="37"/>
    <n v="2"/>
    <n v="2"/>
    <x v="2"/>
    <n v="4"/>
    <x v="0"/>
    <n v="5810"/>
    <n v="22604"/>
    <n v="1"/>
    <s v="Y"/>
    <s v="No"/>
    <n v="16"/>
    <n v="3"/>
    <n v="3"/>
    <n v="80"/>
    <n v="0"/>
    <n v="10"/>
    <n v="2"/>
    <n v="2"/>
    <n v="10"/>
    <n v="4"/>
    <n v="1"/>
    <n v="8"/>
    <n v="0"/>
    <x v="0"/>
  </r>
  <r>
    <n v="36"/>
    <x v="1"/>
    <s v="Travel_Rarely"/>
    <n v="329"/>
    <x v="0"/>
    <n v="16"/>
    <x v="2"/>
    <x v="3"/>
    <n v="1"/>
    <n v="1436"/>
    <n v="3"/>
    <x v="0"/>
    <n v="98"/>
    <n v="2"/>
    <n v="2"/>
    <x v="0"/>
    <n v="1"/>
    <x v="1"/>
    <n v="5647"/>
    <n v="13494"/>
    <n v="4"/>
    <s v="Y"/>
    <s v="No"/>
    <n v="13"/>
    <n v="3"/>
    <n v="1"/>
    <n v="80"/>
    <n v="2"/>
    <n v="11"/>
    <n v="3"/>
    <n v="2"/>
    <n v="3"/>
    <n v="2"/>
    <n v="0"/>
    <n v="2"/>
    <n v="0"/>
    <x v="0"/>
  </r>
  <r>
    <n v="47"/>
    <x v="1"/>
    <s v="Travel_Rarely"/>
    <n v="465"/>
    <x v="1"/>
    <n v="1"/>
    <x v="3"/>
    <x v="4"/>
    <n v="1"/>
    <n v="1438"/>
    <n v="1"/>
    <x v="1"/>
    <n v="74"/>
    <n v="3"/>
    <n v="1"/>
    <x v="1"/>
    <n v="4"/>
    <x v="1"/>
    <n v="3420"/>
    <n v="10205"/>
    <n v="7"/>
    <s v="Y"/>
    <s v="No"/>
    <n v="12"/>
    <n v="3"/>
    <n v="3"/>
    <n v="80"/>
    <n v="1"/>
    <n v="17"/>
    <n v="2"/>
    <n v="2"/>
    <n v="6"/>
    <n v="5"/>
    <n v="1"/>
    <n v="2"/>
    <n v="0"/>
    <x v="1"/>
  </r>
  <r>
    <n v="25"/>
    <x v="0"/>
    <s v="Travel_Rarely"/>
    <n v="383"/>
    <x v="0"/>
    <n v="9"/>
    <x v="0"/>
    <x v="0"/>
    <n v="1"/>
    <n v="1439"/>
    <n v="1"/>
    <x v="1"/>
    <n v="68"/>
    <n v="2"/>
    <n v="1"/>
    <x v="6"/>
    <n v="1"/>
    <x v="1"/>
    <n v="4400"/>
    <n v="15182"/>
    <n v="3"/>
    <s v="Y"/>
    <s v="No"/>
    <n v="12"/>
    <n v="3"/>
    <n v="1"/>
    <n v="80"/>
    <n v="0"/>
    <n v="6"/>
    <n v="2"/>
    <n v="3"/>
    <n v="3"/>
    <n v="2"/>
    <n v="2"/>
    <n v="2"/>
    <n v="1"/>
    <x v="2"/>
  </r>
  <r>
    <n v="37"/>
    <x v="1"/>
    <s v="Non-Travel"/>
    <n v="1413"/>
    <x v="1"/>
    <n v="5"/>
    <x v="0"/>
    <x v="4"/>
    <n v="1"/>
    <n v="1440"/>
    <n v="3"/>
    <x v="1"/>
    <n v="84"/>
    <n v="4"/>
    <n v="1"/>
    <x v="2"/>
    <n v="3"/>
    <x v="0"/>
    <n v="3500"/>
    <n v="25470"/>
    <n v="0"/>
    <s v="Y"/>
    <s v="No"/>
    <n v="14"/>
    <n v="3"/>
    <n v="1"/>
    <n v="80"/>
    <n v="0"/>
    <n v="7"/>
    <n v="2"/>
    <n v="1"/>
    <n v="6"/>
    <n v="5"/>
    <n v="1"/>
    <n v="3"/>
    <n v="0"/>
    <x v="0"/>
  </r>
  <r>
    <n v="56"/>
    <x v="1"/>
    <s v="Travel_Rarely"/>
    <n v="1255"/>
    <x v="1"/>
    <n v="1"/>
    <x v="0"/>
    <x v="0"/>
    <n v="1"/>
    <n v="1441"/>
    <n v="1"/>
    <x v="0"/>
    <n v="90"/>
    <n v="3"/>
    <n v="1"/>
    <x v="1"/>
    <n v="1"/>
    <x v="1"/>
    <n v="2066"/>
    <n v="10494"/>
    <n v="2"/>
    <s v="Y"/>
    <s v="No"/>
    <n v="22"/>
    <n v="4"/>
    <n v="4"/>
    <n v="80"/>
    <n v="1"/>
    <n v="5"/>
    <n v="3"/>
    <n v="4"/>
    <n v="3"/>
    <n v="2"/>
    <n v="1"/>
    <n v="0"/>
    <n v="0"/>
    <x v="3"/>
  </r>
  <r>
    <n v="47"/>
    <x v="1"/>
    <s v="Travel_Rarely"/>
    <n v="359"/>
    <x v="1"/>
    <n v="2"/>
    <x v="2"/>
    <x v="2"/>
    <n v="1"/>
    <n v="1443"/>
    <n v="1"/>
    <x v="0"/>
    <n v="82"/>
    <n v="3"/>
    <n v="4"/>
    <x v="7"/>
    <n v="3"/>
    <x v="1"/>
    <n v="17169"/>
    <n v="26703"/>
    <n v="3"/>
    <s v="Y"/>
    <s v="No"/>
    <n v="19"/>
    <n v="3"/>
    <n v="2"/>
    <n v="80"/>
    <n v="2"/>
    <n v="26"/>
    <n v="2"/>
    <n v="4"/>
    <n v="20"/>
    <n v="17"/>
    <n v="5"/>
    <n v="6"/>
    <n v="0"/>
    <x v="1"/>
  </r>
  <r>
    <n v="24"/>
    <x v="1"/>
    <s v="Travel_Rarely"/>
    <n v="1476"/>
    <x v="0"/>
    <n v="4"/>
    <x v="1"/>
    <x v="2"/>
    <n v="1"/>
    <n v="1445"/>
    <n v="4"/>
    <x v="0"/>
    <n v="42"/>
    <n v="3"/>
    <n v="2"/>
    <x v="0"/>
    <n v="3"/>
    <x v="1"/>
    <n v="4162"/>
    <n v="15211"/>
    <n v="1"/>
    <s v="Y"/>
    <s v="Yes"/>
    <n v="12"/>
    <n v="3"/>
    <n v="3"/>
    <n v="80"/>
    <n v="2"/>
    <n v="5"/>
    <n v="3"/>
    <n v="3"/>
    <n v="5"/>
    <n v="4"/>
    <n v="0"/>
    <n v="3"/>
    <n v="0"/>
    <x v="4"/>
  </r>
  <r>
    <n v="32"/>
    <x v="1"/>
    <s v="Travel_Rarely"/>
    <n v="601"/>
    <x v="0"/>
    <n v="7"/>
    <x v="4"/>
    <x v="3"/>
    <n v="1"/>
    <n v="1446"/>
    <n v="4"/>
    <x v="1"/>
    <n v="97"/>
    <n v="3"/>
    <n v="2"/>
    <x v="0"/>
    <n v="4"/>
    <x v="1"/>
    <n v="9204"/>
    <n v="23343"/>
    <n v="4"/>
    <s v="Y"/>
    <s v="No"/>
    <n v="12"/>
    <n v="3"/>
    <n v="3"/>
    <n v="80"/>
    <n v="1"/>
    <n v="7"/>
    <n v="3"/>
    <n v="2"/>
    <n v="4"/>
    <n v="3"/>
    <n v="0"/>
    <n v="3"/>
    <n v="0"/>
    <x v="2"/>
  </r>
  <r>
    <n v="34"/>
    <x v="1"/>
    <s v="Travel_Rarely"/>
    <n v="401"/>
    <x v="1"/>
    <n v="1"/>
    <x v="3"/>
    <x v="0"/>
    <n v="1"/>
    <n v="1447"/>
    <n v="4"/>
    <x v="0"/>
    <n v="86"/>
    <n v="2"/>
    <n v="1"/>
    <x v="2"/>
    <n v="2"/>
    <x v="1"/>
    <n v="3294"/>
    <n v="3708"/>
    <n v="5"/>
    <s v="Y"/>
    <s v="No"/>
    <n v="17"/>
    <n v="3"/>
    <n v="1"/>
    <n v="80"/>
    <n v="1"/>
    <n v="7"/>
    <n v="2"/>
    <n v="2"/>
    <n v="5"/>
    <n v="4"/>
    <n v="0"/>
    <n v="2"/>
    <n v="0"/>
    <x v="2"/>
  </r>
  <r>
    <n v="41"/>
    <x v="1"/>
    <s v="Travel_Rarely"/>
    <n v="1283"/>
    <x v="1"/>
    <n v="5"/>
    <x v="4"/>
    <x v="2"/>
    <n v="1"/>
    <n v="1448"/>
    <n v="2"/>
    <x v="1"/>
    <n v="90"/>
    <n v="4"/>
    <n v="1"/>
    <x v="1"/>
    <n v="3"/>
    <x v="1"/>
    <n v="2127"/>
    <n v="5561"/>
    <n v="2"/>
    <s v="Y"/>
    <s v="Yes"/>
    <n v="12"/>
    <n v="3"/>
    <n v="1"/>
    <n v="80"/>
    <n v="0"/>
    <n v="7"/>
    <n v="5"/>
    <n v="2"/>
    <n v="4"/>
    <n v="2"/>
    <n v="0"/>
    <n v="3"/>
    <n v="0"/>
    <x v="0"/>
  </r>
  <r>
    <n v="40"/>
    <x v="1"/>
    <s v="Non-Travel"/>
    <n v="663"/>
    <x v="1"/>
    <n v="9"/>
    <x v="2"/>
    <x v="1"/>
    <n v="1"/>
    <n v="1449"/>
    <n v="3"/>
    <x v="1"/>
    <n v="81"/>
    <n v="3"/>
    <n v="2"/>
    <x v="2"/>
    <n v="3"/>
    <x v="2"/>
    <n v="3975"/>
    <n v="23099"/>
    <n v="3"/>
    <s v="Y"/>
    <s v="No"/>
    <n v="11"/>
    <n v="3"/>
    <n v="3"/>
    <n v="80"/>
    <n v="2"/>
    <n v="11"/>
    <n v="2"/>
    <n v="4"/>
    <n v="8"/>
    <n v="7"/>
    <n v="0"/>
    <n v="7"/>
    <n v="0"/>
    <x v="0"/>
  </r>
  <r>
    <n v="31"/>
    <x v="1"/>
    <s v="Travel_Rarely"/>
    <n v="326"/>
    <x v="0"/>
    <n v="8"/>
    <x v="0"/>
    <x v="0"/>
    <n v="1"/>
    <n v="1453"/>
    <n v="1"/>
    <x v="1"/>
    <n v="31"/>
    <n v="3"/>
    <n v="3"/>
    <x v="0"/>
    <n v="4"/>
    <x v="2"/>
    <n v="10793"/>
    <n v="8386"/>
    <n v="1"/>
    <s v="Y"/>
    <s v="No"/>
    <n v="18"/>
    <n v="3"/>
    <n v="1"/>
    <n v="80"/>
    <n v="1"/>
    <n v="13"/>
    <n v="5"/>
    <n v="3"/>
    <n v="13"/>
    <n v="7"/>
    <n v="9"/>
    <n v="9"/>
    <n v="0"/>
    <x v="2"/>
  </r>
  <r>
    <n v="46"/>
    <x v="0"/>
    <s v="Travel_Rarely"/>
    <n v="377"/>
    <x v="0"/>
    <n v="9"/>
    <x v="3"/>
    <x v="3"/>
    <n v="1"/>
    <n v="1457"/>
    <n v="1"/>
    <x v="1"/>
    <n v="52"/>
    <n v="3"/>
    <n v="3"/>
    <x v="0"/>
    <n v="4"/>
    <x v="2"/>
    <n v="10096"/>
    <n v="15986"/>
    <n v="4"/>
    <s v="Y"/>
    <s v="No"/>
    <n v="11"/>
    <n v="3"/>
    <n v="1"/>
    <n v="80"/>
    <n v="1"/>
    <n v="28"/>
    <n v="1"/>
    <n v="4"/>
    <n v="7"/>
    <n v="7"/>
    <n v="4"/>
    <n v="3"/>
    <n v="1"/>
    <x v="1"/>
  </r>
  <r>
    <n v="39"/>
    <x v="0"/>
    <s v="Non-Travel"/>
    <n v="592"/>
    <x v="1"/>
    <n v="2"/>
    <x v="3"/>
    <x v="0"/>
    <n v="1"/>
    <n v="1458"/>
    <n v="1"/>
    <x v="0"/>
    <n v="54"/>
    <n v="2"/>
    <n v="1"/>
    <x v="2"/>
    <n v="1"/>
    <x v="0"/>
    <n v="3646"/>
    <n v="17181"/>
    <n v="2"/>
    <s v="Y"/>
    <s v="Yes"/>
    <n v="23"/>
    <n v="4"/>
    <n v="2"/>
    <n v="80"/>
    <n v="0"/>
    <n v="11"/>
    <n v="2"/>
    <n v="4"/>
    <n v="1"/>
    <n v="0"/>
    <n v="0"/>
    <n v="0"/>
    <n v="1"/>
    <x v="0"/>
  </r>
  <r>
    <n v="31"/>
    <x v="0"/>
    <s v="Travel_Frequently"/>
    <n v="1445"/>
    <x v="1"/>
    <n v="1"/>
    <x v="4"/>
    <x v="0"/>
    <n v="1"/>
    <n v="1459"/>
    <n v="3"/>
    <x v="0"/>
    <n v="100"/>
    <n v="4"/>
    <n v="3"/>
    <x v="3"/>
    <n v="2"/>
    <x v="0"/>
    <n v="7446"/>
    <n v="8931"/>
    <n v="1"/>
    <s v="Y"/>
    <s v="No"/>
    <n v="11"/>
    <n v="3"/>
    <n v="1"/>
    <n v="80"/>
    <n v="0"/>
    <n v="10"/>
    <n v="2"/>
    <n v="3"/>
    <n v="10"/>
    <n v="8"/>
    <n v="4"/>
    <n v="7"/>
    <n v="1"/>
    <x v="2"/>
  </r>
  <r>
    <n v="45"/>
    <x v="1"/>
    <s v="Travel_Rarely"/>
    <n v="1038"/>
    <x v="1"/>
    <n v="20"/>
    <x v="3"/>
    <x v="2"/>
    <n v="1"/>
    <n v="1460"/>
    <n v="2"/>
    <x v="1"/>
    <n v="95"/>
    <n v="1"/>
    <n v="3"/>
    <x v="4"/>
    <n v="1"/>
    <x v="2"/>
    <n v="10851"/>
    <n v="19863"/>
    <n v="2"/>
    <s v="Y"/>
    <s v="Yes"/>
    <n v="18"/>
    <n v="3"/>
    <n v="2"/>
    <n v="80"/>
    <n v="1"/>
    <n v="24"/>
    <n v="2"/>
    <n v="3"/>
    <n v="7"/>
    <n v="7"/>
    <n v="0"/>
    <n v="7"/>
    <n v="0"/>
    <x v="1"/>
  </r>
  <r>
    <n v="31"/>
    <x v="1"/>
    <s v="Travel_Rarely"/>
    <n v="1398"/>
    <x v="2"/>
    <n v="8"/>
    <x v="0"/>
    <x v="2"/>
    <n v="1"/>
    <n v="1461"/>
    <n v="4"/>
    <x v="0"/>
    <n v="96"/>
    <n v="4"/>
    <n v="1"/>
    <x v="8"/>
    <n v="2"/>
    <x v="0"/>
    <n v="2109"/>
    <n v="24609"/>
    <n v="9"/>
    <s v="Y"/>
    <s v="No"/>
    <n v="18"/>
    <n v="3"/>
    <n v="4"/>
    <n v="80"/>
    <n v="0"/>
    <n v="8"/>
    <n v="3"/>
    <n v="3"/>
    <n v="3"/>
    <n v="2"/>
    <n v="0"/>
    <n v="2"/>
    <n v="0"/>
    <x v="2"/>
  </r>
  <r>
    <n v="31"/>
    <x v="0"/>
    <s v="Travel_Frequently"/>
    <n v="523"/>
    <x v="1"/>
    <n v="2"/>
    <x v="3"/>
    <x v="0"/>
    <n v="1"/>
    <n v="1464"/>
    <n v="2"/>
    <x v="1"/>
    <n v="94"/>
    <n v="3"/>
    <n v="1"/>
    <x v="2"/>
    <n v="4"/>
    <x v="1"/>
    <n v="3722"/>
    <n v="21081"/>
    <n v="6"/>
    <s v="Y"/>
    <s v="Yes"/>
    <n v="13"/>
    <n v="3"/>
    <n v="3"/>
    <n v="80"/>
    <n v="1"/>
    <n v="7"/>
    <n v="2"/>
    <n v="1"/>
    <n v="2"/>
    <n v="2"/>
    <n v="2"/>
    <n v="2"/>
    <n v="1"/>
    <x v="2"/>
  </r>
  <r>
    <n v="45"/>
    <x v="1"/>
    <s v="Travel_Rarely"/>
    <n v="1448"/>
    <x v="1"/>
    <n v="29"/>
    <x v="3"/>
    <x v="4"/>
    <n v="1"/>
    <n v="1465"/>
    <n v="2"/>
    <x v="1"/>
    <n v="55"/>
    <n v="3"/>
    <n v="3"/>
    <x v="3"/>
    <n v="4"/>
    <x v="1"/>
    <n v="9380"/>
    <n v="14720"/>
    <n v="4"/>
    <s v="Y"/>
    <s v="Yes"/>
    <n v="18"/>
    <n v="3"/>
    <n v="4"/>
    <n v="80"/>
    <n v="2"/>
    <n v="10"/>
    <n v="4"/>
    <n v="4"/>
    <n v="3"/>
    <n v="1"/>
    <n v="1"/>
    <n v="2"/>
    <n v="0"/>
    <x v="1"/>
  </r>
  <r>
    <n v="48"/>
    <x v="1"/>
    <s v="Travel_Rarely"/>
    <n v="1221"/>
    <x v="0"/>
    <n v="7"/>
    <x v="3"/>
    <x v="3"/>
    <n v="1"/>
    <n v="1466"/>
    <n v="3"/>
    <x v="1"/>
    <n v="96"/>
    <n v="3"/>
    <n v="2"/>
    <x v="0"/>
    <n v="1"/>
    <x v="2"/>
    <n v="5486"/>
    <n v="24795"/>
    <n v="4"/>
    <s v="Y"/>
    <s v="No"/>
    <n v="11"/>
    <n v="3"/>
    <n v="1"/>
    <n v="80"/>
    <n v="3"/>
    <n v="15"/>
    <n v="3"/>
    <n v="3"/>
    <n v="2"/>
    <n v="2"/>
    <n v="2"/>
    <n v="2"/>
    <n v="0"/>
    <x v="1"/>
  </r>
  <r>
    <n v="34"/>
    <x v="0"/>
    <s v="Travel_Rarely"/>
    <n v="1107"/>
    <x v="2"/>
    <n v="9"/>
    <x v="2"/>
    <x v="4"/>
    <n v="1"/>
    <n v="1467"/>
    <n v="1"/>
    <x v="0"/>
    <n v="52"/>
    <n v="3"/>
    <n v="1"/>
    <x v="8"/>
    <n v="3"/>
    <x v="1"/>
    <n v="2742"/>
    <n v="3072"/>
    <n v="1"/>
    <s v="Y"/>
    <s v="No"/>
    <n v="15"/>
    <n v="3"/>
    <n v="4"/>
    <n v="80"/>
    <n v="0"/>
    <n v="2"/>
    <n v="0"/>
    <n v="3"/>
    <n v="2"/>
    <n v="2"/>
    <n v="2"/>
    <n v="2"/>
    <n v="1"/>
    <x v="2"/>
  </r>
  <r>
    <n v="40"/>
    <x v="1"/>
    <s v="Non-Travel"/>
    <n v="218"/>
    <x v="1"/>
    <n v="8"/>
    <x v="1"/>
    <x v="2"/>
    <n v="1"/>
    <n v="1468"/>
    <n v="4"/>
    <x v="1"/>
    <n v="55"/>
    <n v="2"/>
    <n v="3"/>
    <x v="7"/>
    <n v="2"/>
    <x v="2"/>
    <n v="13757"/>
    <n v="25178"/>
    <n v="2"/>
    <s v="Y"/>
    <s v="No"/>
    <n v="11"/>
    <n v="3"/>
    <n v="3"/>
    <n v="80"/>
    <n v="1"/>
    <n v="16"/>
    <n v="5"/>
    <n v="3"/>
    <n v="9"/>
    <n v="8"/>
    <n v="4"/>
    <n v="8"/>
    <n v="0"/>
    <x v="0"/>
  </r>
  <r>
    <n v="28"/>
    <x v="1"/>
    <s v="Travel_Rarely"/>
    <n v="866"/>
    <x v="0"/>
    <n v="5"/>
    <x v="3"/>
    <x v="2"/>
    <n v="1"/>
    <n v="1469"/>
    <n v="4"/>
    <x v="1"/>
    <n v="84"/>
    <n v="3"/>
    <n v="2"/>
    <x v="0"/>
    <n v="1"/>
    <x v="0"/>
    <n v="8463"/>
    <n v="23490"/>
    <n v="0"/>
    <s v="Y"/>
    <s v="No"/>
    <n v="18"/>
    <n v="3"/>
    <n v="4"/>
    <n v="80"/>
    <n v="0"/>
    <n v="6"/>
    <n v="4"/>
    <n v="3"/>
    <n v="5"/>
    <n v="4"/>
    <n v="1"/>
    <n v="3"/>
    <n v="0"/>
    <x v="2"/>
  </r>
  <r>
    <n v="44"/>
    <x v="1"/>
    <s v="Non-Travel"/>
    <n v="981"/>
    <x v="1"/>
    <n v="5"/>
    <x v="3"/>
    <x v="0"/>
    <n v="1"/>
    <n v="1471"/>
    <n v="3"/>
    <x v="1"/>
    <n v="90"/>
    <n v="2"/>
    <n v="1"/>
    <x v="2"/>
    <n v="3"/>
    <x v="0"/>
    <n v="3162"/>
    <n v="7973"/>
    <n v="3"/>
    <s v="Y"/>
    <s v="No"/>
    <n v="14"/>
    <n v="3"/>
    <n v="4"/>
    <n v="80"/>
    <n v="0"/>
    <n v="7"/>
    <n v="5"/>
    <n v="3"/>
    <n v="5"/>
    <n v="2"/>
    <n v="0"/>
    <n v="3"/>
    <n v="0"/>
    <x v="0"/>
  </r>
  <r>
    <n v="53"/>
    <x v="1"/>
    <s v="Travel_Rarely"/>
    <n v="447"/>
    <x v="1"/>
    <n v="2"/>
    <x v="3"/>
    <x v="2"/>
    <n v="1"/>
    <n v="1472"/>
    <n v="4"/>
    <x v="1"/>
    <n v="39"/>
    <n v="4"/>
    <n v="4"/>
    <x v="7"/>
    <n v="2"/>
    <x v="0"/>
    <n v="16598"/>
    <n v="19764"/>
    <n v="4"/>
    <s v="Y"/>
    <s v="No"/>
    <n v="12"/>
    <n v="3"/>
    <n v="2"/>
    <n v="80"/>
    <n v="0"/>
    <n v="35"/>
    <n v="2"/>
    <n v="2"/>
    <n v="9"/>
    <n v="8"/>
    <n v="8"/>
    <n v="8"/>
    <n v="0"/>
    <x v="1"/>
  </r>
  <r>
    <n v="49"/>
    <x v="1"/>
    <s v="Travel_Rarely"/>
    <n v="1495"/>
    <x v="1"/>
    <n v="5"/>
    <x v="2"/>
    <x v="4"/>
    <n v="1"/>
    <n v="1473"/>
    <n v="1"/>
    <x v="1"/>
    <n v="96"/>
    <n v="3"/>
    <n v="2"/>
    <x v="4"/>
    <n v="3"/>
    <x v="1"/>
    <n v="6651"/>
    <n v="21534"/>
    <n v="2"/>
    <s v="Y"/>
    <s v="No"/>
    <n v="14"/>
    <n v="3"/>
    <n v="2"/>
    <n v="80"/>
    <n v="1"/>
    <n v="20"/>
    <n v="0"/>
    <n v="2"/>
    <n v="3"/>
    <n v="2"/>
    <n v="1"/>
    <n v="2"/>
    <n v="0"/>
    <x v="1"/>
  </r>
  <r>
    <n v="40"/>
    <x v="1"/>
    <s v="Travel_Rarely"/>
    <n v="896"/>
    <x v="1"/>
    <n v="2"/>
    <x v="3"/>
    <x v="2"/>
    <n v="1"/>
    <n v="1474"/>
    <n v="3"/>
    <x v="1"/>
    <n v="68"/>
    <n v="3"/>
    <n v="1"/>
    <x v="1"/>
    <n v="3"/>
    <x v="2"/>
    <n v="2345"/>
    <n v="8045"/>
    <n v="2"/>
    <s v="Y"/>
    <s v="No"/>
    <n v="14"/>
    <n v="3"/>
    <n v="3"/>
    <n v="80"/>
    <n v="1"/>
    <n v="8"/>
    <n v="3"/>
    <n v="4"/>
    <n v="3"/>
    <n v="1"/>
    <n v="1"/>
    <n v="2"/>
    <n v="0"/>
    <x v="0"/>
  </r>
  <r>
    <n v="44"/>
    <x v="1"/>
    <s v="Travel_Rarely"/>
    <n v="1467"/>
    <x v="1"/>
    <n v="20"/>
    <x v="3"/>
    <x v="0"/>
    <n v="1"/>
    <n v="1475"/>
    <n v="4"/>
    <x v="1"/>
    <n v="49"/>
    <n v="3"/>
    <n v="1"/>
    <x v="1"/>
    <n v="2"/>
    <x v="0"/>
    <n v="3420"/>
    <n v="21158"/>
    <n v="1"/>
    <s v="Y"/>
    <s v="No"/>
    <n v="13"/>
    <n v="3"/>
    <n v="3"/>
    <n v="80"/>
    <n v="0"/>
    <n v="6"/>
    <n v="3"/>
    <n v="2"/>
    <n v="5"/>
    <n v="2"/>
    <n v="1"/>
    <n v="3"/>
    <n v="0"/>
    <x v="0"/>
  </r>
  <r>
    <n v="33"/>
    <x v="1"/>
    <s v="Travel_Frequently"/>
    <n v="430"/>
    <x v="0"/>
    <n v="7"/>
    <x v="3"/>
    <x v="2"/>
    <n v="1"/>
    <n v="1477"/>
    <n v="4"/>
    <x v="1"/>
    <n v="54"/>
    <n v="3"/>
    <n v="2"/>
    <x v="0"/>
    <n v="1"/>
    <x v="1"/>
    <n v="4373"/>
    <n v="17456"/>
    <n v="0"/>
    <s v="Y"/>
    <s v="No"/>
    <n v="14"/>
    <n v="3"/>
    <n v="1"/>
    <n v="80"/>
    <n v="2"/>
    <n v="5"/>
    <n v="2"/>
    <n v="3"/>
    <n v="4"/>
    <n v="3"/>
    <n v="0"/>
    <n v="3"/>
    <n v="0"/>
    <x v="2"/>
  </r>
  <r>
    <n v="34"/>
    <x v="1"/>
    <s v="Travel_Rarely"/>
    <n v="1326"/>
    <x v="0"/>
    <n v="3"/>
    <x v="3"/>
    <x v="1"/>
    <n v="1"/>
    <n v="1478"/>
    <n v="4"/>
    <x v="1"/>
    <n v="81"/>
    <n v="1"/>
    <n v="2"/>
    <x v="0"/>
    <n v="1"/>
    <x v="0"/>
    <n v="4759"/>
    <n v="15891"/>
    <n v="3"/>
    <s v="Y"/>
    <s v="No"/>
    <n v="18"/>
    <n v="3"/>
    <n v="4"/>
    <n v="80"/>
    <n v="0"/>
    <n v="15"/>
    <n v="2"/>
    <n v="3"/>
    <n v="13"/>
    <n v="9"/>
    <n v="3"/>
    <n v="12"/>
    <n v="0"/>
    <x v="2"/>
  </r>
  <r>
    <n v="30"/>
    <x v="1"/>
    <s v="Travel_Rarely"/>
    <n v="1358"/>
    <x v="0"/>
    <n v="16"/>
    <x v="1"/>
    <x v="0"/>
    <n v="1"/>
    <n v="1479"/>
    <n v="4"/>
    <x v="1"/>
    <n v="96"/>
    <n v="3"/>
    <n v="2"/>
    <x v="0"/>
    <n v="3"/>
    <x v="1"/>
    <n v="5301"/>
    <n v="2939"/>
    <n v="8"/>
    <s v="Y"/>
    <s v="No"/>
    <n v="15"/>
    <n v="3"/>
    <n v="3"/>
    <n v="80"/>
    <n v="2"/>
    <n v="4"/>
    <n v="2"/>
    <n v="2"/>
    <n v="2"/>
    <n v="1"/>
    <n v="2"/>
    <n v="2"/>
    <n v="0"/>
    <x v="2"/>
  </r>
  <r>
    <n v="42"/>
    <x v="1"/>
    <s v="Travel_Frequently"/>
    <n v="748"/>
    <x v="1"/>
    <n v="9"/>
    <x v="0"/>
    <x v="2"/>
    <n v="1"/>
    <n v="1480"/>
    <n v="1"/>
    <x v="0"/>
    <n v="74"/>
    <n v="3"/>
    <n v="1"/>
    <x v="2"/>
    <n v="4"/>
    <x v="0"/>
    <n v="3673"/>
    <n v="16458"/>
    <n v="1"/>
    <s v="Y"/>
    <s v="No"/>
    <n v="13"/>
    <n v="3"/>
    <n v="3"/>
    <n v="80"/>
    <n v="0"/>
    <n v="12"/>
    <n v="3"/>
    <n v="3"/>
    <n v="12"/>
    <n v="9"/>
    <n v="5"/>
    <n v="8"/>
    <n v="0"/>
    <x v="0"/>
  </r>
  <r>
    <n v="44"/>
    <x v="1"/>
    <s v="Travel_Frequently"/>
    <n v="383"/>
    <x v="0"/>
    <n v="1"/>
    <x v="4"/>
    <x v="3"/>
    <n v="1"/>
    <n v="1481"/>
    <n v="1"/>
    <x v="0"/>
    <n v="79"/>
    <n v="3"/>
    <n v="2"/>
    <x v="0"/>
    <n v="3"/>
    <x v="1"/>
    <n v="4768"/>
    <n v="9282"/>
    <n v="7"/>
    <s v="Y"/>
    <s v="No"/>
    <n v="12"/>
    <n v="3"/>
    <n v="3"/>
    <n v="80"/>
    <n v="1"/>
    <n v="11"/>
    <n v="4"/>
    <n v="2"/>
    <n v="1"/>
    <n v="0"/>
    <n v="0"/>
    <n v="0"/>
    <n v="0"/>
    <x v="0"/>
  </r>
  <r>
    <n v="30"/>
    <x v="1"/>
    <s v="Non-Travel"/>
    <n v="990"/>
    <x v="1"/>
    <n v="7"/>
    <x v="3"/>
    <x v="4"/>
    <n v="1"/>
    <n v="1482"/>
    <n v="3"/>
    <x v="1"/>
    <n v="64"/>
    <n v="3"/>
    <n v="1"/>
    <x v="1"/>
    <n v="3"/>
    <x v="2"/>
    <n v="1274"/>
    <n v="7152"/>
    <n v="1"/>
    <s v="Y"/>
    <s v="No"/>
    <n v="13"/>
    <n v="3"/>
    <n v="2"/>
    <n v="80"/>
    <n v="2"/>
    <n v="1"/>
    <n v="2"/>
    <n v="2"/>
    <n v="1"/>
    <n v="0"/>
    <n v="0"/>
    <n v="0"/>
    <n v="0"/>
    <x v="2"/>
  </r>
  <r>
    <n v="57"/>
    <x v="1"/>
    <s v="Travel_Rarely"/>
    <n v="405"/>
    <x v="1"/>
    <n v="1"/>
    <x v="0"/>
    <x v="0"/>
    <n v="1"/>
    <n v="1483"/>
    <n v="2"/>
    <x v="1"/>
    <n v="93"/>
    <n v="4"/>
    <n v="2"/>
    <x v="1"/>
    <n v="3"/>
    <x v="1"/>
    <n v="4900"/>
    <n v="2721"/>
    <n v="0"/>
    <s v="Y"/>
    <s v="No"/>
    <n v="24"/>
    <n v="4"/>
    <n v="1"/>
    <n v="80"/>
    <n v="1"/>
    <n v="13"/>
    <n v="2"/>
    <n v="2"/>
    <n v="12"/>
    <n v="9"/>
    <n v="2"/>
    <n v="8"/>
    <n v="0"/>
    <x v="3"/>
  </r>
  <r>
    <n v="49"/>
    <x v="1"/>
    <s v="Travel_Rarely"/>
    <n v="1490"/>
    <x v="1"/>
    <n v="7"/>
    <x v="2"/>
    <x v="0"/>
    <n v="1"/>
    <n v="1484"/>
    <n v="3"/>
    <x v="1"/>
    <n v="35"/>
    <n v="3"/>
    <n v="3"/>
    <x v="4"/>
    <n v="2"/>
    <x v="2"/>
    <n v="10466"/>
    <n v="20948"/>
    <n v="3"/>
    <s v="Y"/>
    <s v="No"/>
    <n v="14"/>
    <n v="3"/>
    <n v="2"/>
    <n v="80"/>
    <n v="2"/>
    <n v="29"/>
    <n v="3"/>
    <n v="3"/>
    <n v="8"/>
    <n v="7"/>
    <n v="0"/>
    <n v="7"/>
    <n v="0"/>
    <x v="1"/>
  </r>
  <r>
    <n v="34"/>
    <x v="1"/>
    <s v="Travel_Frequently"/>
    <n v="829"/>
    <x v="1"/>
    <n v="15"/>
    <x v="3"/>
    <x v="2"/>
    <n v="1"/>
    <n v="1485"/>
    <n v="2"/>
    <x v="1"/>
    <n v="71"/>
    <n v="3"/>
    <n v="4"/>
    <x v="7"/>
    <n v="1"/>
    <x v="2"/>
    <n v="17007"/>
    <n v="11929"/>
    <n v="7"/>
    <s v="Y"/>
    <s v="No"/>
    <n v="14"/>
    <n v="3"/>
    <n v="4"/>
    <n v="80"/>
    <n v="2"/>
    <n v="16"/>
    <n v="3"/>
    <n v="2"/>
    <n v="14"/>
    <n v="8"/>
    <n v="6"/>
    <n v="9"/>
    <n v="0"/>
    <x v="2"/>
  </r>
  <r>
    <n v="28"/>
    <x v="0"/>
    <s v="Travel_Frequently"/>
    <n v="1496"/>
    <x v="0"/>
    <n v="1"/>
    <x v="3"/>
    <x v="4"/>
    <n v="1"/>
    <n v="1486"/>
    <n v="1"/>
    <x v="1"/>
    <n v="92"/>
    <n v="3"/>
    <n v="1"/>
    <x v="6"/>
    <n v="3"/>
    <x v="1"/>
    <n v="2909"/>
    <n v="15747"/>
    <n v="3"/>
    <s v="Y"/>
    <s v="No"/>
    <n v="15"/>
    <n v="3"/>
    <n v="4"/>
    <n v="80"/>
    <n v="1"/>
    <n v="5"/>
    <n v="3"/>
    <n v="4"/>
    <n v="3"/>
    <n v="2"/>
    <n v="1"/>
    <n v="2"/>
    <n v="1"/>
    <x v="2"/>
  </r>
  <r>
    <n v="29"/>
    <x v="0"/>
    <s v="Travel_Frequently"/>
    <n v="115"/>
    <x v="0"/>
    <n v="13"/>
    <x v="3"/>
    <x v="4"/>
    <n v="1"/>
    <n v="1487"/>
    <n v="1"/>
    <x v="0"/>
    <n v="51"/>
    <n v="3"/>
    <n v="2"/>
    <x v="0"/>
    <n v="2"/>
    <x v="0"/>
    <n v="5765"/>
    <n v="17485"/>
    <n v="5"/>
    <s v="Y"/>
    <s v="No"/>
    <n v="11"/>
    <n v="3"/>
    <n v="1"/>
    <n v="80"/>
    <n v="0"/>
    <n v="7"/>
    <n v="4"/>
    <n v="1"/>
    <n v="5"/>
    <n v="3"/>
    <n v="0"/>
    <n v="0"/>
    <n v="1"/>
    <x v="2"/>
  </r>
  <r>
    <n v="34"/>
    <x v="0"/>
    <s v="Travel_Rarely"/>
    <n v="790"/>
    <x v="0"/>
    <n v="24"/>
    <x v="2"/>
    <x v="2"/>
    <n v="1"/>
    <n v="1489"/>
    <n v="1"/>
    <x v="0"/>
    <n v="40"/>
    <n v="2"/>
    <n v="2"/>
    <x v="0"/>
    <n v="2"/>
    <x v="0"/>
    <n v="4599"/>
    <n v="7815"/>
    <n v="0"/>
    <s v="Y"/>
    <s v="Yes"/>
    <n v="23"/>
    <n v="4"/>
    <n v="3"/>
    <n v="80"/>
    <n v="0"/>
    <n v="16"/>
    <n v="2"/>
    <n v="4"/>
    <n v="15"/>
    <n v="9"/>
    <n v="10"/>
    <n v="10"/>
    <n v="1"/>
    <x v="2"/>
  </r>
  <r>
    <n v="35"/>
    <x v="1"/>
    <s v="Travel_Rarely"/>
    <n v="660"/>
    <x v="0"/>
    <n v="7"/>
    <x v="1"/>
    <x v="0"/>
    <n v="1"/>
    <n v="1492"/>
    <n v="4"/>
    <x v="1"/>
    <n v="76"/>
    <n v="3"/>
    <n v="1"/>
    <x v="6"/>
    <n v="3"/>
    <x v="1"/>
    <n v="2404"/>
    <n v="16192"/>
    <n v="1"/>
    <s v="Y"/>
    <s v="No"/>
    <n v="13"/>
    <n v="3"/>
    <n v="1"/>
    <n v="80"/>
    <n v="1"/>
    <n v="1"/>
    <n v="3"/>
    <n v="3"/>
    <n v="1"/>
    <n v="0"/>
    <n v="0"/>
    <n v="0"/>
    <n v="0"/>
    <x v="0"/>
  </r>
  <r>
    <n v="24"/>
    <x v="0"/>
    <s v="Travel_Frequently"/>
    <n v="381"/>
    <x v="1"/>
    <n v="9"/>
    <x v="3"/>
    <x v="2"/>
    <n v="1"/>
    <n v="1494"/>
    <n v="2"/>
    <x v="1"/>
    <n v="89"/>
    <n v="3"/>
    <n v="1"/>
    <x v="2"/>
    <n v="1"/>
    <x v="0"/>
    <n v="3172"/>
    <n v="16998"/>
    <n v="2"/>
    <s v="Y"/>
    <s v="Yes"/>
    <n v="11"/>
    <n v="3"/>
    <n v="3"/>
    <n v="80"/>
    <n v="0"/>
    <n v="4"/>
    <n v="2"/>
    <n v="2"/>
    <n v="0"/>
    <n v="0"/>
    <n v="0"/>
    <n v="0"/>
    <n v="1"/>
    <x v="4"/>
  </r>
  <r>
    <n v="24"/>
    <x v="1"/>
    <s v="Non-Travel"/>
    <n v="830"/>
    <x v="0"/>
    <n v="13"/>
    <x v="0"/>
    <x v="0"/>
    <n v="1"/>
    <n v="1495"/>
    <n v="4"/>
    <x v="0"/>
    <n v="78"/>
    <n v="3"/>
    <n v="1"/>
    <x v="6"/>
    <n v="2"/>
    <x v="1"/>
    <n v="2033"/>
    <n v="7103"/>
    <n v="1"/>
    <s v="Y"/>
    <s v="No"/>
    <n v="13"/>
    <n v="3"/>
    <n v="3"/>
    <n v="80"/>
    <n v="1"/>
    <n v="1"/>
    <n v="2"/>
    <n v="3"/>
    <n v="1"/>
    <n v="0"/>
    <n v="0"/>
    <n v="0"/>
    <n v="0"/>
    <x v="4"/>
  </r>
  <r>
    <n v="44"/>
    <x v="1"/>
    <s v="Travel_Frequently"/>
    <n v="1193"/>
    <x v="1"/>
    <n v="2"/>
    <x v="1"/>
    <x v="2"/>
    <n v="1"/>
    <n v="1496"/>
    <n v="2"/>
    <x v="1"/>
    <n v="86"/>
    <n v="3"/>
    <n v="3"/>
    <x v="3"/>
    <n v="3"/>
    <x v="0"/>
    <n v="10209"/>
    <n v="19719"/>
    <n v="5"/>
    <s v="Y"/>
    <s v="Yes"/>
    <n v="18"/>
    <n v="3"/>
    <n v="2"/>
    <n v="80"/>
    <n v="0"/>
    <n v="16"/>
    <n v="2"/>
    <n v="2"/>
    <n v="2"/>
    <n v="2"/>
    <n v="2"/>
    <n v="2"/>
    <n v="0"/>
    <x v="0"/>
  </r>
  <r>
    <n v="29"/>
    <x v="1"/>
    <s v="Travel_Rarely"/>
    <n v="1246"/>
    <x v="0"/>
    <n v="19"/>
    <x v="3"/>
    <x v="0"/>
    <n v="1"/>
    <n v="1497"/>
    <n v="3"/>
    <x v="1"/>
    <n v="77"/>
    <n v="2"/>
    <n v="2"/>
    <x v="0"/>
    <n v="3"/>
    <x v="2"/>
    <n v="8620"/>
    <n v="23757"/>
    <n v="1"/>
    <s v="Y"/>
    <s v="No"/>
    <n v="14"/>
    <n v="3"/>
    <n v="3"/>
    <n v="80"/>
    <n v="2"/>
    <n v="10"/>
    <n v="3"/>
    <n v="3"/>
    <n v="10"/>
    <n v="7"/>
    <n v="0"/>
    <n v="4"/>
    <n v="0"/>
    <x v="2"/>
  </r>
  <r>
    <n v="30"/>
    <x v="1"/>
    <s v="Travel_Rarely"/>
    <n v="330"/>
    <x v="2"/>
    <n v="1"/>
    <x v="3"/>
    <x v="0"/>
    <n v="1"/>
    <n v="1499"/>
    <n v="3"/>
    <x v="1"/>
    <n v="46"/>
    <n v="3"/>
    <n v="1"/>
    <x v="8"/>
    <n v="3"/>
    <x v="2"/>
    <n v="2064"/>
    <n v="15428"/>
    <n v="0"/>
    <s v="Y"/>
    <s v="No"/>
    <n v="21"/>
    <n v="4"/>
    <n v="1"/>
    <n v="80"/>
    <n v="1"/>
    <n v="6"/>
    <n v="3"/>
    <n v="4"/>
    <n v="5"/>
    <n v="3"/>
    <n v="1"/>
    <n v="3"/>
    <n v="0"/>
    <x v="2"/>
  </r>
  <r>
    <n v="55"/>
    <x v="1"/>
    <s v="Travel_Rarely"/>
    <n v="1229"/>
    <x v="1"/>
    <n v="4"/>
    <x v="2"/>
    <x v="0"/>
    <n v="1"/>
    <n v="1501"/>
    <n v="4"/>
    <x v="1"/>
    <n v="30"/>
    <n v="3"/>
    <n v="2"/>
    <x v="4"/>
    <n v="3"/>
    <x v="1"/>
    <n v="4035"/>
    <n v="16143"/>
    <n v="0"/>
    <s v="Y"/>
    <s v="Yes"/>
    <n v="16"/>
    <n v="3"/>
    <n v="2"/>
    <n v="80"/>
    <n v="0"/>
    <n v="4"/>
    <n v="2"/>
    <n v="3"/>
    <n v="3"/>
    <n v="2"/>
    <n v="1"/>
    <n v="2"/>
    <n v="0"/>
    <x v="3"/>
  </r>
  <r>
    <n v="33"/>
    <x v="1"/>
    <s v="Travel_Rarely"/>
    <n v="1099"/>
    <x v="1"/>
    <n v="4"/>
    <x v="2"/>
    <x v="2"/>
    <n v="1"/>
    <n v="1502"/>
    <n v="1"/>
    <x v="0"/>
    <n v="82"/>
    <n v="2"/>
    <n v="1"/>
    <x v="2"/>
    <n v="2"/>
    <x v="1"/>
    <n v="3838"/>
    <n v="8192"/>
    <n v="8"/>
    <s v="Y"/>
    <s v="No"/>
    <n v="11"/>
    <n v="3"/>
    <n v="4"/>
    <n v="80"/>
    <n v="0"/>
    <n v="8"/>
    <n v="5"/>
    <n v="3"/>
    <n v="5"/>
    <n v="4"/>
    <n v="0"/>
    <n v="2"/>
    <n v="0"/>
    <x v="2"/>
  </r>
  <r>
    <n v="47"/>
    <x v="1"/>
    <s v="Travel_Rarely"/>
    <n v="571"/>
    <x v="0"/>
    <n v="14"/>
    <x v="3"/>
    <x v="2"/>
    <n v="1"/>
    <n v="1503"/>
    <n v="3"/>
    <x v="0"/>
    <n v="78"/>
    <n v="3"/>
    <n v="2"/>
    <x v="0"/>
    <n v="3"/>
    <x v="1"/>
    <n v="4591"/>
    <n v="24200"/>
    <n v="3"/>
    <s v="Y"/>
    <s v="Yes"/>
    <n v="17"/>
    <n v="3"/>
    <n v="3"/>
    <n v="80"/>
    <n v="1"/>
    <n v="11"/>
    <n v="4"/>
    <n v="2"/>
    <n v="5"/>
    <n v="4"/>
    <n v="1"/>
    <n v="2"/>
    <n v="0"/>
    <x v="1"/>
  </r>
  <r>
    <n v="28"/>
    <x v="0"/>
    <s v="Travel_Frequently"/>
    <n v="289"/>
    <x v="1"/>
    <n v="2"/>
    <x v="0"/>
    <x v="2"/>
    <n v="1"/>
    <n v="1504"/>
    <n v="3"/>
    <x v="1"/>
    <n v="38"/>
    <n v="2"/>
    <n v="1"/>
    <x v="2"/>
    <n v="1"/>
    <x v="0"/>
    <n v="2561"/>
    <n v="5355"/>
    <n v="7"/>
    <s v="Y"/>
    <s v="No"/>
    <n v="11"/>
    <n v="3"/>
    <n v="3"/>
    <n v="80"/>
    <n v="0"/>
    <n v="8"/>
    <n v="2"/>
    <n v="2"/>
    <n v="0"/>
    <n v="0"/>
    <n v="0"/>
    <n v="0"/>
    <n v="1"/>
    <x v="2"/>
  </r>
  <r>
    <n v="28"/>
    <x v="1"/>
    <s v="Travel_Rarely"/>
    <n v="1423"/>
    <x v="1"/>
    <n v="1"/>
    <x v="3"/>
    <x v="0"/>
    <n v="1"/>
    <n v="1506"/>
    <n v="1"/>
    <x v="1"/>
    <n v="72"/>
    <n v="2"/>
    <n v="1"/>
    <x v="1"/>
    <n v="3"/>
    <x v="2"/>
    <n v="1563"/>
    <n v="12530"/>
    <n v="1"/>
    <s v="Y"/>
    <s v="No"/>
    <n v="14"/>
    <n v="3"/>
    <n v="4"/>
    <n v="80"/>
    <n v="1"/>
    <n v="1"/>
    <n v="2"/>
    <n v="1"/>
    <n v="1"/>
    <n v="0"/>
    <n v="0"/>
    <n v="0"/>
    <n v="0"/>
    <x v="2"/>
  </r>
  <r>
    <n v="28"/>
    <x v="1"/>
    <s v="Travel_Frequently"/>
    <n v="467"/>
    <x v="0"/>
    <n v="7"/>
    <x v="3"/>
    <x v="0"/>
    <n v="1"/>
    <n v="1507"/>
    <n v="3"/>
    <x v="1"/>
    <n v="55"/>
    <n v="3"/>
    <n v="2"/>
    <x v="0"/>
    <n v="1"/>
    <x v="0"/>
    <n v="4898"/>
    <n v="11827"/>
    <n v="0"/>
    <s v="Y"/>
    <s v="No"/>
    <n v="14"/>
    <n v="3"/>
    <n v="4"/>
    <n v="80"/>
    <n v="0"/>
    <n v="5"/>
    <n v="5"/>
    <n v="3"/>
    <n v="4"/>
    <n v="2"/>
    <n v="1"/>
    <n v="3"/>
    <n v="0"/>
    <x v="2"/>
  </r>
  <r>
    <n v="49"/>
    <x v="1"/>
    <s v="Travel_Rarely"/>
    <n v="271"/>
    <x v="1"/>
    <n v="3"/>
    <x v="0"/>
    <x v="2"/>
    <n v="1"/>
    <n v="1509"/>
    <n v="3"/>
    <x v="0"/>
    <n v="43"/>
    <n v="2"/>
    <n v="2"/>
    <x v="2"/>
    <n v="1"/>
    <x v="1"/>
    <n v="4789"/>
    <n v="23070"/>
    <n v="4"/>
    <s v="Y"/>
    <s v="No"/>
    <n v="25"/>
    <n v="4"/>
    <n v="1"/>
    <n v="80"/>
    <n v="1"/>
    <n v="10"/>
    <n v="3"/>
    <n v="3"/>
    <n v="3"/>
    <n v="2"/>
    <n v="1"/>
    <n v="2"/>
    <n v="0"/>
    <x v="1"/>
  </r>
  <r>
    <n v="29"/>
    <x v="1"/>
    <s v="Travel_Frequently"/>
    <n v="410"/>
    <x v="1"/>
    <n v="2"/>
    <x v="1"/>
    <x v="0"/>
    <n v="1"/>
    <n v="1513"/>
    <n v="4"/>
    <x v="0"/>
    <n v="97"/>
    <n v="3"/>
    <n v="1"/>
    <x v="2"/>
    <n v="2"/>
    <x v="1"/>
    <n v="3180"/>
    <n v="4668"/>
    <n v="0"/>
    <s v="Y"/>
    <s v="No"/>
    <n v="13"/>
    <n v="3"/>
    <n v="3"/>
    <n v="80"/>
    <n v="3"/>
    <n v="4"/>
    <n v="3"/>
    <n v="3"/>
    <n v="3"/>
    <n v="2"/>
    <n v="0"/>
    <n v="2"/>
    <n v="0"/>
    <x v="2"/>
  </r>
  <r>
    <n v="28"/>
    <x v="1"/>
    <s v="Travel_Rarely"/>
    <n v="1083"/>
    <x v="1"/>
    <n v="29"/>
    <x v="1"/>
    <x v="0"/>
    <n v="1"/>
    <n v="1514"/>
    <n v="3"/>
    <x v="1"/>
    <n v="96"/>
    <n v="1"/>
    <n v="2"/>
    <x v="3"/>
    <n v="2"/>
    <x v="1"/>
    <n v="6549"/>
    <n v="3173"/>
    <n v="1"/>
    <s v="Y"/>
    <s v="No"/>
    <n v="14"/>
    <n v="3"/>
    <n v="2"/>
    <n v="80"/>
    <n v="2"/>
    <n v="8"/>
    <n v="2"/>
    <n v="2"/>
    <n v="8"/>
    <n v="6"/>
    <n v="1"/>
    <n v="7"/>
    <n v="0"/>
    <x v="2"/>
  </r>
  <r>
    <n v="33"/>
    <x v="1"/>
    <s v="Travel_Rarely"/>
    <n v="516"/>
    <x v="1"/>
    <n v="8"/>
    <x v="4"/>
    <x v="0"/>
    <n v="1"/>
    <n v="1515"/>
    <n v="4"/>
    <x v="1"/>
    <n v="69"/>
    <n v="3"/>
    <n v="2"/>
    <x v="4"/>
    <n v="3"/>
    <x v="0"/>
    <n v="6388"/>
    <n v="22049"/>
    <n v="2"/>
    <s v="Y"/>
    <s v="Yes"/>
    <n v="17"/>
    <n v="3"/>
    <n v="1"/>
    <n v="80"/>
    <n v="0"/>
    <n v="14"/>
    <n v="6"/>
    <n v="3"/>
    <n v="0"/>
    <n v="0"/>
    <n v="0"/>
    <n v="0"/>
    <n v="0"/>
    <x v="2"/>
  </r>
  <r>
    <n v="32"/>
    <x v="1"/>
    <s v="Travel_Rarely"/>
    <n v="495"/>
    <x v="1"/>
    <n v="10"/>
    <x v="3"/>
    <x v="2"/>
    <n v="1"/>
    <n v="1516"/>
    <n v="3"/>
    <x v="1"/>
    <n v="64"/>
    <n v="3"/>
    <n v="3"/>
    <x v="5"/>
    <n v="4"/>
    <x v="0"/>
    <n v="11244"/>
    <n v="21072"/>
    <n v="2"/>
    <s v="Y"/>
    <s v="No"/>
    <n v="25"/>
    <n v="4"/>
    <n v="2"/>
    <n v="80"/>
    <n v="0"/>
    <n v="10"/>
    <n v="5"/>
    <n v="4"/>
    <n v="5"/>
    <n v="2"/>
    <n v="0"/>
    <n v="0"/>
    <n v="0"/>
    <x v="2"/>
  </r>
  <r>
    <n v="54"/>
    <x v="1"/>
    <s v="Travel_Frequently"/>
    <n v="1050"/>
    <x v="1"/>
    <n v="11"/>
    <x v="2"/>
    <x v="2"/>
    <n v="1"/>
    <n v="1520"/>
    <n v="2"/>
    <x v="0"/>
    <n v="87"/>
    <n v="3"/>
    <n v="4"/>
    <x v="5"/>
    <n v="4"/>
    <x v="2"/>
    <n v="16032"/>
    <n v="24456"/>
    <n v="3"/>
    <s v="Y"/>
    <s v="No"/>
    <n v="20"/>
    <n v="4"/>
    <n v="1"/>
    <n v="80"/>
    <n v="1"/>
    <n v="26"/>
    <n v="2"/>
    <n v="3"/>
    <n v="14"/>
    <n v="9"/>
    <n v="1"/>
    <n v="12"/>
    <n v="0"/>
    <x v="1"/>
  </r>
  <r>
    <n v="29"/>
    <x v="0"/>
    <s v="Travel_Rarely"/>
    <n v="224"/>
    <x v="1"/>
    <n v="1"/>
    <x v="2"/>
    <x v="4"/>
    <n v="1"/>
    <n v="1522"/>
    <n v="1"/>
    <x v="1"/>
    <n v="100"/>
    <n v="2"/>
    <n v="1"/>
    <x v="1"/>
    <n v="1"/>
    <x v="0"/>
    <n v="2362"/>
    <n v="7568"/>
    <n v="6"/>
    <s v="Y"/>
    <s v="No"/>
    <n v="13"/>
    <n v="3"/>
    <n v="3"/>
    <n v="80"/>
    <n v="0"/>
    <n v="11"/>
    <n v="2"/>
    <n v="1"/>
    <n v="9"/>
    <n v="7"/>
    <n v="0"/>
    <n v="7"/>
    <n v="1"/>
    <x v="2"/>
  </r>
  <r>
    <n v="44"/>
    <x v="1"/>
    <s v="Travel_Rarely"/>
    <n v="136"/>
    <x v="1"/>
    <n v="28"/>
    <x v="3"/>
    <x v="0"/>
    <n v="1"/>
    <n v="1523"/>
    <n v="4"/>
    <x v="1"/>
    <n v="32"/>
    <n v="3"/>
    <n v="4"/>
    <x v="7"/>
    <n v="1"/>
    <x v="1"/>
    <n v="16328"/>
    <n v="22074"/>
    <n v="3"/>
    <s v="Y"/>
    <s v="No"/>
    <n v="13"/>
    <n v="3"/>
    <n v="3"/>
    <n v="80"/>
    <n v="1"/>
    <n v="24"/>
    <n v="1"/>
    <n v="4"/>
    <n v="20"/>
    <n v="6"/>
    <n v="14"/>
    <n v="17"/>
    <n v="0"/>
    <x v="0"/>
  </r>
  <r>
    <n v="39"/>
    <x v="1"/>
    <s v="Travel_Rarely"/>
    <n v="1089"/>
    <x v="1"/>
    <n v="6"/>
    <x v="3"/>
    <x v="0"/>
    <n v="1"/>
    <n v="1525"/>
    <n v="2"/>
    <x v="0"/>
    <n v="32"/>
    <n v="3"/>
    <n v="3"/>
    <x v="3"/>
    <n v="2"/>
    <x v="0"/>
    <n v="8376"/>
    <n v="9150"/>
    <n v="4"/>
    <s v="Y"/>
    <s v="No"/>
    <n v="18"/>
    <n v="3"/>
    <n v="4"/>
    <n v="80"/>
    <n v="0"/>
    <n v="9"/>
    <n v="3"/>
    <n v="3"/>
    <n v="2"/>
    <n v="0"/>
    <n v="2"/>
    <n v="2"/>
    <n v="0"/>
    <x v="0"/>
  </r>
  <r>
    <n v="46"/>
    <x v="1"/>
    <s v="Travel_Rarely"/>
    <n v="228"/>
    <x v="0"/>
    <n v="3"/>
    <x v="3"/>
    <x v="0"/>
    <n v="1"/>
    <n v="1527"/>
    <n v="3"/>
    <x v="0"/>
    <n v="51"/>
    <n v="3"/>
    <n v="4"/>
    <x v="5"/>
    <n v="2"/>
    <x v="1"/>
    <n v="16606"/>
    <n v="11380"/>
    <n v="8"/>
    <s v="Y"/>
    <s v="No"/>
    <n v="12"/>
    <n v="3"/>
    <n v="4"/>
    <n v="80"/>
    <n v="1"/>
    <n v="23"/>
    <n v="2"/>
    <n v="4"/>
    <n v="13"/>
    <n v="12"/>
    <n v="5"/>
    <n v="1"/>
    <n v="0"/>
    <x v="1"/>
  </r>
  <r>
    <n v="35"/>
    <x v="1"/>
    <s v="Travel_Rarely"/>
    <n v="1029"/>
    <x v="1"/>
    <n v="16"/>
    <x v="3"/>
    <x v="0"/>
    <n v="1"/>
    <n v="1529"/>
    <n v="4"/>
    <x v="0"/>
    <n v="91"/>
    <n v="2"/>
    <n v="3"/>
    <x v="4"/>
    <n v="2"/>
    <x v="0"/>
    <n v="8606"/>
    <n v="21195"/>
    <n v="1"/>
    <s v="Y"/>
    <s v="No"/>
    <n v="19"/>
    <n v="3"/>
    <n v="4"/>
    <n v="80"/>
    <n v="0"/>
    <n v="11"/>
    <n v="3"/>
    <n v="1"/>
    <n v="11"/>
    <n v="8"/>
    <n v="3"/>
    <n v="3"/>
    <n v="0"/>
    <x v="0"/>
  </r>
  <r>
    <n v="23"/>
    <x v="1"/>
    <s v="Travel_Rarely"/>
    <n v="507"/>
    <x v="1"/>
    <n v="20"/>
    <x v="1"/>
    <x v="0"/>
    <n v="1"/>
    <n v="1533"/>
    <n v="1"/>
    <x v="1"/>
    <n v="97"/>
    <n v="3"/>
    <n v="2"/>
    <x v="2"/>
    <n v="3"/>
    <x v="0"/>
    <n v="2272"/>
    <n v="24812"/>
    <n v="0"/>
    <s v="Y"/>
    <s v="No"/>
    <n v="14"/>
    <n v="3"/>
    <n v="2"/>
    <n v="80"/>
    <n v="0"/>
    <n v="5"/>
    <n v="2"/>
    <n v="3"/>
    <n v="4"/>
    <n v="3"/>
    <n v="1"/>
    <n v="2"/>
    <n v="0"/>
    <x v="4"/>
  </r>
  <r>
    <n v="40"/>
    <x v="0"/>
    <s v="Travel_Rarely"/>
    <n v="676"/>
    <x v="1"/>
    <n v="9"/>
    <x v="2"/>
    <x v="0"/>
    <n v="1"/>
    <n v="1534"/>
    <n v="4"/>
    <x v="1"/>
    <n v="86"/>
    <n v="3"/>
    <n v="1"/>
    <x v="2"/>
    <n v="1"/>
    <x v="0"/>
    <n v="2018"/>
    <n v="21831"/>
    <n v="3"/>
    <s v="Y"/>
    <s v="No"/>
    <n v="14"/>
    <n v="3"/>
    <n v="2"/>
    <n v="80"/>
    <n v="0"/>
    <n v="15"/>
    <n v="3"/>
    <n v="1"/>
    <n v="5"/>
    <n v="4"/>
    <n v="1"/>
    <n v="0"/>
    <n v="1"/>
    <x v="0"/>
  </r>
  <r>
    <n v="34"/>
    <x v="1"/>
    <s v="Travel_Rarely"/>
    <n v="971"/>
    <x v="0"/>
    <n v="1"/>
    <x v="3"/>
    <x v="4"/>
    <n v="1"/>
    <n v="1535"/>
    <n v="4"/>
    <x v="1"/>
    <n v="64"/>
    <n v="2"/>
    <n v="3"/>
    <x v="0"/>
    <n v="3"/>
    <x v="1"/>
    <n v="7083"/>
    <n v="12288"/>
    <n v="1"/>
    <s v="Y"/>
    <s v="Yes"/>
    <n v="14"/>
    <n v="3"/>
    <n v="4"/>
    <n v="80"/>
    <n v="0"/>
    <n v="10"/>
    <n v="3"/>
    <n v="3"/>
    <n v="10"/>
    <n v="9"/>
    <n v="8"/>
    <n v="6"/>
    <n v="0"/>
    <x v="2"/>
  </r>
  <r>
    <n v="31"/>
    <x v="0"/>
    <s v="Travel_Frequently"/>
    <n v="561"/>
    <x v="1"/>
    <n v="3"/>
    <x v="3"/>
    <x v="0"/>
    <n v="1"/>
    <n v="1537"/>
    <n v="4"/>
    <x v="0"/>
    <n v="33"/>
    <n v="3"/>
    <n v="1"/>
    <x v="1"/>
    <n v="3"/>
    <x v="0"/>
    <n v="4084"/>
    <n v="4156"/>
    <n v="1"/>
    <s v="Y"/>
    <s v="No"/>
    <n v="12"/>
    <n v="3"/>
    <n v="1"/>
    <n v="80"/>
    <n v="0"/>
    <n v="7"/>
    <n v="2"/>
    <n v="1"/>
    <n v="7"/>
    <n v="2"/>
    <n v="7"/>
    <n v="7"/>
    <n v="1"/>
    <x v="2"/>
  </r>
  <r>
    <n v="50"/>
    <x v="1"/>
    <s v="Travel_Frequently"/>
    <n v="333"/>
    <x v="1"/>
    <n v="22"/>
    <x v="4"/>
    <x v="2"/>
    <n v="1"/>
    <n v="1539"/>
    <n v="3"/>
    <x v="1"/>
    <n v="88"/>
    <n v="1"/>
    <n v="4"/>
    <x v="7"/>
    <n v="4"/>
    <x v="0"/>
    <n v="14411"/>
    <n v="24450"/>
    <n v="1"/>
    <s v="Y"/>
    <s v="Yes"/>
    <n v="13"/>
    <n v="3"/>
    <n v="4"/>
    <n v="80"/>
    <n v="0"/>
    <n v="32"/>
    <n v="2"/>
    <n v="3"/>
    <n v="32"/>
    <n v="6"/>
    <n v="13"/>
    <n v="9"/>
    <n v="0"/>
    <x v="1"/>
  </r>
  <r>
    <n v="34"/>
    <x v="1"/>
    <s v="Travel_Rarely"/>
    <n v="1440"/>
    <x v="0"/>
    <n v="7"/>
    <x v="0"/>
    <x v="4"/>
    <n v="1"/>
    <n v="1541"/>
    <n v="2"/>
    <x v="1"/>
    <n v="55"/>
    <n v="3"/>
    <n v="1"/>
    <x v="6"/>
    <n v="3"/>
    <x v="1"/>
    <n v="2308"/>
    <n v="4944"/>
    <n v="0"/>
    <s v="Y"/>
    <s v="Yes"/>
    <n v="25"/>
    <n v="4"/>
    <n v="2"/>
    <n v="80"/>
    <n v="1"/>
    <n v="12"/>
    <n v="4"/>
    <n v="3"/>
    <n v="11"/>
    <n v="10"/>
    <n v="5"/>
    <n v="7"/>
    <n v="0"/>
    <x v="2"/>
  </r>
  <r>
    <n v="42"/>
    <x v="1"/>
    <s v="Travel_Rarely"/>
    <n v="1210"/>
    <x v="1"/>
    <n v="2"/>
    <x v="3"/>
    <x v="2"/>
    <n v="1"/>
    <n v="1542"/>
    <n v="3"/>
    <x v="1"/>
    <n v="68"/>
    <n v="2"/>
    <n v="1"/>
    <x v="2"/>
    <n v="2"/>
    <x v="1"/>
    <n v="4841"/>
    <n v="24052"/>
    <n v="4"/>
    <s v="Y"/>
    <s v="No"/>
    <n v="14"/>
    <n v="3"/>
    <n v="2"/>
    <n v="80"/>
    <n v="1"/>
    <n v="4"/>
    <n v="3"/>
    <n v="3"/>
    <n v="1"/>
    <n v="0"/>
    <n v="0"/>
    <n v="0"/>
    <n v="0"/>
    <x v="0"/>
  </r>
  <r>
    <n v="37"/>
    <x v="1"/>
    <s v="Travel_Rarely"/>
    <n v="674"/>
    <x v="1"/>
    <n v="13"/>
    <x v="3"/>
    <x v="2"/>
    <n v="1"/>
    <n v="1543"/>
    <n v="1"/>
    <x v="1"/>
    <n v="47"/>
    <n v="3"/>
    <n v="2"/>
    <x v="1"/>
    <n v="4"/>
    <x v="1"/>
    <n v="4285"/>
    <n v="3031"/>
    <n v="1"/>
    <s v="Y"/>
    <s v="No"/>
    <n v="17"/>
    <n v="3"/>
    <n v="1"/>
    <n v="80"/>
    <n v="0"/>
    <n v="10"/>
    <n v="2"/>
    <n v="3"/>
    <n v="10"/>
    <n v="8"/>
    <n v="3"/>
    <n v="7"/>
    <n v="0"/>
    <x v="0"/>
  </r>
  <r>
    <n v="29"/>
    <x v="1"/>
    <s v="Travel_Rarely"/>
    <n v="441"/>
    <x v="1"/>
    <n v="8"/>
    <x v="1"/>
    <x v="1"/>
    <n v="1"/>
    <n v="1544"/>
    <n v="3"/>
    <x v="0"/>
    <n v="39"/>
    <n v="1"/>
    <n v="2"/>
    <x v="4"/>
    <n v="1"/>
    <x v="1"/>
    <n v="9715"/>
    <n v="7288"/>
    <n v="3"/>
    <s v="Y"/>
    <s v="No"/>
    <n v="13"/>
    <n v="3"/>
    <n v="3"/>
    <n v="80"/>
    <n v="1"/>
    <n v="9"/>
    <n v="3"/>
    <n v="3"/>
    <n v="7"/>
    <n v="7"/>
    <n v="0"/>
    <n v="7"/>
    <n v="0"/>
    <x v="2"/>
  </r>
  <r>
    <n v="33"/>
    <x v="1"/>
    <s v="Travel_Rarely"/>
    <n v="575"/>
    <x v="1"/>
    <n v="25"/>
    <x v="3"/>
    <x v="0"/>
    <n v="1"/>
    <n v="1545"/>
    <n v="4"/>
    <x v="1"/>
    <n v="44"/>
    <n v="2"/>
    <n v="2"/>
    <x v="3"/>
    <n v="2"/>
    <x v="0"/>
    <n v="4320"/>
    <n v="24152"/>
    <n v="1"/>
    <s v="Y"/>
    <s v="No"/>
    <n v="13"/>
    <n v="3"/>
    <n v="4"/>
    <n v="80"/>
    <n v="0"/>
    <n v="5"/>
    <n v="2"/>
    <n v="3"/>
    <n v="5"/>
    <n v="3"/>
    <n v="0"/>
    <n v="2"/>
    <n v="0"/>
    <x v="2"/>
  </r>
  <r>
    <n v="45"/>
    <x v="1"/>
    <s v="Travel_Rarely"/>
    <n v="950"/>
    <x v="1"/>
    <n v="28"/>
    <x v="3"/>
    <x v="4"/>
    <n v="1"/>
    <n v="1546"/>
    <n v="4"/>
    <x v="1"/>
    <n v="97"/>
    <n v="3"/>
    <n v="1"/>
    <x v="1"/>
    <n v="4"/>
    <x v="1"/>
    <n v="2132"/>
    <n v="4585"/>
    <n v="4"/>
    <s v="Y"/>
    <s v="No"/>
    <n v="20"/>
    <n v="4"/>
    <n v="4"/>
    <n v="80"/>
    <n v="1"/>
    <n v="8"/>
    <n v="3"/>
    <n v="3"/>
    <n v="5"/>
    <n v="4"/>
    <n v="0"/>
    <n v="3"/>
    <n v="0"/>
    <x v="1"/>
  </r>
  <r>
    <n v="42"/>
    <x v="1"/>
    <s v="Travel_Frequently"/>
    <n v="288"/>
    <x v="1"/>
    <n v="2"/>
    <x v="3"/>
    <x v="0"/>
    <n v="1"/>
    <n v="1547"/>
    <n v="4"/>
    <x v="1"/>
    <n v="40"/>
    <n v="3"/>
    <n v="3"/>
    <x v="4"/>
    <n v="4"/>
    <x v="1"/>
    <n v="10124"/>
    <n v="18611"/>
    <n v="2"/>
    <s v="Y"/>
    <s v="Yes"/>
    <n v="14"/>
    <n v="3"/>
    <n v="3"/>
    <n v="80"/>
    <n v="1"/>
    <n v="24"/>
    <n v="3"/>
    <n v="1"/>
    <n v="20"/>
    <n v="8"/>
    <n v="13"/>
    <n v="9"/>
    <n v="0"/>
    <x v="0"/>
  </r>
  <r>
    <n v="40"/>
    <x v="1"/>
    <s v="Travel_Rarely"/>
    <n v="1342"/>
    <x v="0"/>
    <n v="9"/>
    <x v="0"/>
    <x v="2"/>
    <n v="1"/>
    <n v="1548"/>
    <n v="1"/>
    <x v="1"/>
    <n v="47"/>
    <n v="3"/>
    <n v="2"/>
    <x v="0"/>
    <n v="1"/>
    <x v="1"/>
    <n v="5473"/>
    <n v="19345"/>
    <n v="0"/>
    <s v="Y"/>
    <s v="No"/>
    <n v="12"/>
    <n v="3"/>
    <n v="4"/>
    <n v="80"/>
    <n v="0"/>
    <n v="9"/>
    <n v="5"/>
    <n v="4"/>
    <n v="8"/>
    <n v="4"/>
    <n v="7"/>
    <n v="1"/>
    <n v="0"/>
    <x v="0"/>
  </r>
  <r>
    <n v="33"/>
    <x v="1"/>
    <s v="Travel_Rarely"/>
    <n v="589"/>
    <x v="1"/>
    <n v="28"/>
    <x v="2"/>
    <x v="0"/>
    <n v="1"/>
    <n v="1549"/>
    <n v="2"/>
    <x v="1"/>
    <n v="79"/>
    <n v="3"/>
    <n v="2"/>
    <x v="2"/>
    <n v="3"/>
    <x v="1"/>
    <n v="5207"/>
    <n v="22949"/>
    <n v="1"/>
    <s v="Y"/>
    <s v="Yes"/>
    <n v="12"/>
    <n v="3"/>
    <n v="2"/>
    <n v="80"/>
    <n v="1"/>
    <n v="15"/>
    <n v="3"/>
    <n v="3"/>
    <n v="15"/>
    <n v="14"/>
    <n v="5"/>
    <n v="7"/>
    <n v="0"/>
    <x v="2"/>
  </r>
  <r>
    <n v="40"/>
    <x v="1"/>
    <s v="Travel_Rarely"/>
    <n v="898"/>
    <x v="2"/>
    <n v="6"/>
    <x v="0"/>
    <x v="2"/>
    <n v="1"/>
    <n v="1550"/>
    <n v="3"/>
    <x v="1"/>
    <n v="38"/>
    <n v="3"/>
    <n v="4"/>
    <x v="5"/>
    <n v="4"/>
    <x v="0"/>
    <n v="16437"/>
    <n v="17381"/>
    <n v="1"/>
    <s v="Y"/>
    <s v="Yes"/>
    <n v="21"/>
    <n v="4"/>
    <n v="4"/>
    <n v="80"/>
    <n v="0"/>
    <n v="21"/>
    <n v="2"/>
    <n v="3"/>
    <n v="21"/>
    <n v="7"/>
    <n v="7"/>
    <n v="7"/>
    <n v="0"/>
    <x v="0"/>
  </r>
  <r>
    <n v="24"/>
    <x v="1"/>
    <s v="Travel_Rarely"/>
    <n v="350"/>
    <x v="1"/>
    <n v="21"/>
    <x v="0"/>
    <x v="4"/>
    <n v="1"/>
    <n v="1551"/>
    <n v="3"/>
    <x v="1"/>
    <n v="57"/>
    <n v="2"/>
    <n v="1"/>
    <x v="2"/>
    <n v="1"/>
    <x v="2"/>
    <n v="2296"/>
    <n v="10036"/>
    <n v="0"/>
    <s v="Y"/>
    <s v="No"/>
    <n v="14"/>
    <n v="3"/>
    <n v="2"/>
    <n v="80"/>
    <n v="3"/>
    <n v="2"/>
    <n v="3"/>
    <n v="3"/>
    <n v="1"/>
    <n v="1"/>
    <n v="0"/>
    <n v="0"/>
    <n v="0"/>
    <x v="4"/>
  </r>
  <r>
    <n v="40"/>
    <x v="1"/>
    <s v="Non-Travel"/>
    <n v="1142"/>
    <x v="1"/>
    <n v="8"/>
    <x v="0"/>
    <x v="0"/>
    <n v="1"/>
    <n v="1552"/>
    <n v="4"/>
    <x v="1"/>
    <n v="72"/>
    <n v="3"/>
    <n v="2"/>
    <x v="4"/>
    <n v="4"/>
    <x v="2"/>
    <n v="4069"/>
    <n v="8841"/>
    <n v="3"/>
    <s v="Y"/>
    <s v="Yes"/>
    <n v="18"/>
    <n v="3"/>
    <n v="3"/>
    <n v="80"/>
    <n v="0"/>
    <n v="8"/>
    <n v="2"/>
    <n v="3"/>
    <n v="2"/>
    <n v="2"/>
    <n v="2"/>
    <n v="2"/>
    <n v="0"/>
    <x v="0"/>
  </r>
  <r>
    <n v="45"/>
    <x v="1"/>
    <s v="Travel_Rarely"/>
    <n v="538"/>
    <x v="1"/>
    <n v="1"/>
    <x v="2"/>
    <x v="4"/>
    <n v="1"/>
    <n v="1553"/>
    <n v="1"/>
    <x v="1"/>
    <n v="66"/>
    <n v="3"/>
    <n v="3"/>
    <x v="4"/>
    <n v="2"/>
    <x v="2"/>
    <n v="7441"/>
    <n v="20933"/>
    <n v="1"/>
    <s v="Y"/>
    <s v="No"/>
    <n v="12"/>
    <n v="3"/>
    <n v="1"/>
    <n v="80"/>
    <n v="3"/>
    <n v="10"/>
    <n v="4"/>
    <n v="3"/>
    <n v="10"/>
    <n v="8"/>
    <n v="7"/>
    <n v="7"/>
    <n v="0"/>
    <x v="1"/>
  </r>
  <r>
    <n v="35"/>
    <x v="1"/>
    <s v="Travel_Rarely"/>
    <n v="1402"/>
    <x v="0"/>
    <n v="28"/>
    <x v="2"/>
    <x v="0"/>
    <n v="1"/>
    <n v="1554"/>
    <n v="2"/>
    <x v="0"/>
    <n v="98"/>
    <n v="2"/>
    <n v="1"/>
    <x v="6"/>
    <n v="3"/>
    <x v="1"/>
    <n v="2430"/>
    <n v="26204"/>
    <n v="0"/>
    <s v="Y"/>
    <s v="No"/>
    <n v="23"/>
    <n v="4"/>
    <n v="1"/>
    <n v="80"/>
    <n v="2"/>
    <n v="6"/>
    <n v="5"/>
    <n v="3"/>
    <n v="5"/>
    <n v="3"/>
    <n v="4"/>
    <n v="2"/>
    <n v="0"/>
    <x v="0"/>
  </r>
  <r>
    <n v="32"/>
    <x v="1"/>
    <s v="Travel_Rarely"/>
    <n v="824"/>
    <x v="1"/>
    <n v="5"/>
    <x v="0"/>
    <x v="0"/>
    <n v="1"/>
    <n v="1555"/>
    <n v="4"/>
    <x v="0"/>
    <n v="67"/>
    <n v="2"/>
    <n v="2"/>
    <x v="1"/>
    <n v="2"/>
    <x v="1"/>
    <n v="5878"/>
    <n v="15624"/>
    <n v="3"/>
    <s v="Y"/>
    <s v="No"/>
    <n v="12"/>
    <n v="3"/>
    <n v="1"/>
    <n v="80"/>
    <n v="1"/>
    <n v="12"/>
    <n v="2"/>
    <n v="3"/>
    <n v="7"/>
    <n v="1"/>
    <n v="2"/>
    <n v="5"/>
    <n v="0"/>
    <x v="2"/>
  </r>
  <r>
    <n v="36"/>
    <x v="1"/>
    <s v="Travel_Rarely"/>
    <n v="1157"/>
    <x v="0"/>
    <n v="2"/>
    <x v="2"/>
    <x v="0"/>
    <n v="1"/>
    <n v="1556"/>
    <n v="3"/>
    <x v="1"/>
    <n v="70"/>
    <n v="3"/>
    <n v="1"/>
    <x v="6"/>
    <n v="4"/>
    <x v="0"/>
    <n v="2644"/>
    <n v="17001"/>
    <n v="3"/>
    <s v="Y"/>
    <s v="Yes"/>
    <n v="21"/>
    <n v="4"/>
    <n v="4"/>
    <n v="80"/>
    <n v="0"/>
    <n v="7"/>
    <n v="3"/>
    <n v="2"/>
    <n v="3"/>
    <n v="2"/>
    <n v="1"/>
    <n v="2"/>
    <n v="0"/>
    <x v="0"/>
  </r>
  <r>
    <n v="48"/>
    <x v="1"/>
    <s v="Travel_Rarely"/>
    <n v="492"/>
    <x v="0"/>
    <n v="16"/>
    <x v="2"/>
    <x v="0"/>
    <n v="1"/>
    <n v="1557"/>
    <n v="3"/>
    <x v="0"/>
    <n v="96"/>
    <n v="3"/>
    <n v="2"/>
    <x v="0"/>
    <n v="3"/>
    <x v="2"/>
    <n v="6439"/>
    <n v="13693"/>
    <n v="8"/>
    <s v="Y"/>
    <s v="No"/>
    <n v="14"/>
    <n v="3"/>
    <n v="3"/>
    <n v="80"/>
    <n v="1"/>
    <n v="18"/>
    <n v="2"/>
    <n v="3"/>
    <n v="8"/>
    <n v="7"/>
    <n v="7"/>
    <n v="7"/>
    <n v="0"/>
    <x v="1"/>
  </r>
  <r>
    <n v="29"/>
    <x v="1"/>
    <s v="Travel_Rarely"/>
    <n v="598"/>
    <x v="1"/>
    <n v="9"/>
    <x v="3"/>
    <x v="0"/>
    <n v="1"/>
    <n v="1558"/>
    <n v="3"/>
    <x v="1"/>
    <n v="91"/>
    <n v="4"/>
    <n v="1"/>
    <x v="1"/>
    <n v="3"/>
    <x v="1"/>
    <n v="2451"/>
    <n v="22376"/>
    <n v="6"/>
    <s v="Y"/>
    <s v="No"/>
    <n v="18"/>
    <n v="3"/>
    <n v="1"/>
    <n v="80"/>
    <n v="2"/>
    <n v="5"/>
    <n v="2"/>
    <n v="2"/>
    <n v="1"/>
    <n v="0"/>
    <n v="0"/>
    <n v="0"/>
    <n v="0"/>
    <x v="2"/>
  </r>
  <r>
    <n v="33"/>
    <x v="1"/>
    <s v="Travel_Rarely"/>
    <n v="1242"/>
    <x v="0"/>
    <n v="8"/>
    <x v="2"/>
    <x v="0"/>
    <n v="1"/>
    <n v="1560"/>
    <n v="1"/>
    <x v="1"/>
    <n v="46"/>
    <n v="3"/>
    <n v="2"/>
    <x v="0"/>
    <n v="1"/>
    <x v="1"/>
    <n v="6392"/>
    <n v="10589"/>
    <n v="2"/>
    <s v="Y"/>
    <s v="No"/>
    <n v="13"/>
    <n v="3"/>
    <n v="4"/>
    <n v="80"/>
    <n v="1"/>
    <n v="8"/>
    <n v="6"/>
    <n v="1"/>
    <n v="2"/>
    <n v="2"/>
    <n v="2"/>
    <n v="2"/>
    <n v="0"/>
    <x v="2"/>
  </r>
  <r>
    <n v="30"/>
    <x v="0"/>
    <s v="Travel_Rarely"/>
    <n v="740"/>
    <x v="0"/>
    <n v="1"/>
    <x v="3"/>
    <x v="0"/>
    <n v="1"/>
    <n v="1562"/>
    <n v="2"/>
    <x v="1"/>
    <n v="64"/>
    <n v="2"/>
    <n v="2"/>
    <x v="0"/>
    <n v="1"/>
    <x v="1"/>
    <n v="9714"/>
    <n v="5323"/>
    <n v="1"/>
    <s v="Y"/>
    <s v="No"/>
    <n v="11"/>
    <n v="3"/>
    <n v="4"/>
    <n v="80"/>
    <n v="1"/>
    <n v="10"/>
    <n v="4"/>
    <n v="3"/>
    <n v="10"/>
    <n v="8"/>
    <n v="6"/>
    <n v="7"/>
    <n v="1"/>
    <x v="2"/>
  </r>
  <r>
    <n v="38"/>
    <x v="1"/>
    <s v="Travel_Frequently"/>
    <n v="888"/>
    <x v="2"/>
    <n v="10"/>
    <x v="2"/>
    <x v="5"/>
    <n v="1"/>
    <n v="1563"/>
    <n v="3"/>
    <x v="1"/>
    <n v="71"/>
    <n v="3"/>
    <n v="2"/>
    <x v="8"/>
    <n v="3"/>
    <x v="1"/>
    <n v="6077"/>
    <n v="14814"/>
    <n v="3"/>
    <s v="Y"/>
    <s v="No"/>
    <n v="11"/>
    <n v="3"/>
    <n v="3"/>
    <n v="80"/>
    <n v="0"/>
    <n v="10"/>
    <n v="2"/>
    <n v="3"/>
    <n v="6"/>
    <n v="3"/>
    <n v="1"/>
    <n v="2"/>
    <n v="0"/>
    <x v="0"/>
  </r>
  <r>
    <n v="35"/>
    <x v="1"/>
    <s v="Travel_Rarely"/>
    <n v="992"/>
    <x v="1"/>
    <n v="1"/>
    <x v="3"/>
    <x v="2"/>
    <n v="1"/>
    <n v="1564"/>
    <n v="4"/>
    <x v="1"/>
    <n v="68"/>
    <n v="2"/>
    <n v="1"/>
    <x v="2"/>
    <n v="1"/>
    <x v="0"/>
    <n v="2450"/>
    <n v="21731"/>
    <n v="1"/>
    <s v="Y"/>
    <s v="No"/>
    <n v="19"/>
    <n v="3"/>
    <n v="2"/>
    <n v="80"/>
    <n v="0"/>
    <n v="3"/>
    <n v="3"/>
    <n v="3"/>
    <n v="3"/>
    <n v="0"/>
    <n v="1"/>
    <n v="2"/>
    <n v="0"/>
    <x v="0"/>
  </r>
  <r>
    <n v="30"/>
    <x v="1"/>
    <s v="Travel_Rarely"/>
    <n v="1288"/>
    <x v="0"/>
    <n v="29"/>
    <x v="2"/>
    <x v="4"/>
    <n v="1"/>
    <n v="1568"/>
    <n v="3"/>
    <x v="1"/>
    <n v="33"/>
    <n v="3"/>
    <n v="3"/>
    <x v="0"/>
    <n v="2"/>
    <x v="1"/>
    <n v="9250"/>
    <n v="17799"/>
    <n v="3"/>
    <s v="Y"/>
    <s v="No"/>
    <n v="12"/>
    <n v="3"/>
    <n v="2"/>
    <n v="80"/>
    <n v="1"/>
    <n v="9"/>
    <n v="3"/>
    <n v="3"/>
    <n v="4"/>
    <n v="2"/>
    <n v="1"/>
    <n v="3"/>
    <n v="0"/>
    <x v="2"/>
  </r>
  <r>
    <n v="35"/>
    <x v="0"/>
    <s v="Travel_Rarely"/>
    <n v="104"/>
    <x v="1"/>
    <n v="2"/>
    <x v="3"/>
    <x v="0"/>
    <n v="1"/>
    <n v="1569"/>
    <n v="1"/>
    <x v="0"/>
    <n v="69"/>
    <n v="3"/>
    <n v="1"/>
    <x v="2"/>
    <n v="1"/>
    <x v="2"/>
    <n v="2074"/>
    <n v="26619"/>
    <n v="1"/>
    <s v="Y"/>
    <s v="Yes"/>
    <n v="12"/>
    <n v="3"/>
    <n v="4"/>
    <n v="80"/>
    <n v="1"/>
    <n v="1"/>
    <n v="2"/>
    <n v="3"/>
    <n v="1"/>
    <n v="0"/>
    <n v="0"/>
    <n v="0"/>
    <n v="1"/>
    <x v="0"/>
  </r>
  <r>
    <n v="53"/>
    <x v="0"/>
    <s v="Travel_Rarely"/>
    <n v="607"/>
    <x v="1"/>
    <n v="2"/>
    <x v="4"/>
    <x v="4"/>
    <n v="1"/>
    <n v="1572"/>
    <n v="3"/>
    <x v="0"/>
    <n v="78"/>
    <n v="2"/>
    <n v="3"/>
    <x v="3"/>
    <n v="4"/>
    <x v="1"/>
    <n v="10169"/>
    <n v="14618"/>
    <n v="0"/>
    <s v="Y"/>
    <s v="No"/>
    <n v="16"/>
    <n v="3"/>
    <n v="2"/>
    <n v="80"/>
    <n v="1"/>
    <n v="34"/>
    <n v="4"/>
    <n v="3"/>
    <n v="33"/>
    <n v="7"/>
    <n v="1"/>
    <n v="9"/>
    <n v="1"/>
    <x v="1"/>
  </r>
  <r>
    <n v="38"/>
    <x v="0"/>
    <s v="Travel_Rarely"/>
    <n v="903"/>
    <x v="1"/>
    <n v="2"/>
    <x v="3"/>
    <x v="2"/>
    <n v="1"/>
    <n v="1573"/>
    <n v="3"/>
    <x v="1"/>
    <n v="81"/>
    <n v="3"/>
    <n v="2"/>
    <x v="3"/>
    <n v="2"/>
    <x v="1"/>
    <n v="4855"/>
    <n v="7653"/>
    <n v="4"/>
    <s v="Y"/>
    <s v="No"/>
    <n v="11"/>
    <n v="3"/>
    <n v="1"/>
    <n v="80"/>
    <n v="2"/>
    <n v="7"/>
    <n v="2"/>
    <n v="3"/>
    <n v="5"/>
    <n v="2"/>
    <n v="1"/>
    <n v="4"/>
    <n v="1"/>
    <x v="0"/>
  </r>
  <r>
    <n v="32"/>
    <x v="1"/>
    <s v="Non-Travel"/>
    <n v="1200"/>
    <x v="1"/>
    <n v="1"/>
    <x v="2"/>
    <x v="4"/>
    <n v="1"/>
    <n v="1574"/>
    <n v="4"/>
    <x v="1"/>
    <n v="62"/>
    <n v="3"/>
    <n v="2"/>
    <x v="1"/>
    <n v="1"/>
    <x v="1"/>
    <n v="4087"/>
    <n v="25174"/>
    <n v="4"/>
    <s v="Y"/>
    <s v="No"/>
    <n v="14"/>
    <n v="3"/>
    <n v="2"/>
    <n v="80"/>
    <n v="1"/>
    <n v="9"/>
    <n v="3"/>
    <n v="2"/>
    <n v="6"/>
    <n v="5"/>
    <n v="1"/>
    <n v="2"/>
    <n v="0"/>
    <x v="2"/>
  </r>
  <r>
    <n v="48"/>
    <x v="1"/>
    <s v="Travel_Rarely"/>
    <n v="1108"/>
    <x v="1"/>
    <n v="15"/>
    <x v="2"/>
    <x v="1"/>
    <n v="1"/>
    <n v="1576"/>
    <n v="3"/>
    <x v="0"/>
    <n v="65"/>
    <n v="3"/>
    <n v="1"/>
    <x v="1"/>
    <n v="1"/>
    <x v="1"/>
    <n v="2367"/>
    <n v="16530"/>
    <n v="8"/>
    <s v="Y"/>
    <s v="No"/>
    <n v="12"/>
    <n v="3"/>
    <n v="4"/>
    <n v="80"/>
    <n v="1"/>
    <n v="10"/>
    <n v="3"/>
    <n v="2"/>
    <n v="8"/>
    <n v="2"/>
    <n v="7"/>
    <n v="6"/>
    <n v="0"/>
    <x v="1"/>
  </r>
  <r>
    <n v="34"/>
    <x v="1"/>
    <s v="Travel_Rarely"/>
    <n v="479"/>
    <x v="1"/>
    <n v="7"/>
    <x v="2"/>
    <x v="2"/>
    <n v="1"/>
    <n v="1577"/>
    <n v="1"/>
    <x v="1"/>
    <n v="35"/>
    <n v="3"/>
    <n v="1"/>
    <x v="1"/>
    <n v="4"/>
    <x v="0"/>
    <n v="2972"/>
    <n v="22061"/>
    <n v="1"/>
    <s v="Y"/>
    <s v="No"/>
    <n v="13"/>
    <n v="3"/>
    <n v="3"/>
    <n v="80"/>
    <n v="0"/>
    <n v="1"/>
    <n v="4"/>
    <n v="1"/>
    <n v="1"/>
    <n v="0"/>
    <n v="0"/>
    <n v="0"/>
    <n v="0"/>
    <x v="2"/>
  </r>
  <r>
    <n v="55"/>
    <x v="1"/>
    <s v="Travel_Rarely"/>
    <n v="685"/>
    <x v="0"/>
    <n v="26"/>
    <x v="4"/>
    <x v="3"/>
    <n v="1"/>
    <n v="1578"/>
    <n v="3"/>
    <x v="1"/>
    <n v="60"/>
    <n v="2"/>
    <n v="5"/>
    <x v="5"/>
    <n v="4"/>
    <x v="1"/>
    <n v="19586"/>
    <n v="23037"/>
    <n v="1"/>
    <s v="Y"/>
    <s v="No"/>
    <n v="21"/>
    <n v="4"/>
    <n v="3"/>
    <n v="80"/>
    <n v="1"/>
    <n v="36"/>
    <n v="3"/>
    <n v="3"/>
    <n v="36"/>
    <n v="6"/>
    <n v="2"/>
    <n v="13"/>
    <n v="0"/>
    <x v="3"/>
  </r>
  <r>
    <n v="34"/>
    <x v="1"/>
    <s v="Travel_Rarely"/>
    <n v="1351"/>
    <x v="1"/>
    <n v="1"/>
    <x v="2"/>
    <x v="0"/>
    <n v="1"/>
    <n v="1580"/>
    <n v="2"/>
    <x v="1"/>
    <n v="45"/>
    <n v="3"/>
    <n v="2"/>
    <x v="1"/>
    <n v="4"/>
    <x v="1"/>
    <n v="5484"/>
    <n v="13008"/>
    <n v="9"/>
    <s v="Y"/>
    <s v="No"/>
    <n v="17"/>
    <n v="3"/>
    <n v="2"/>
    <n v="80"/>
    <n v="1"/>
    <n v="9"/>
    <n v="3"/>
    <n v="2"/>
    <n v="2"/>
    <n v="2"/>
    <n v="2"/>
    <n v="1"/>
    <n v="0"/>
    <x v="2"/>
  </r>
  <r>
    <n v="26"/>
    <x v="1"/>
    <s v="Travel_Rarely"/>
    <n v="474"/>
    <x v="1"/>
    <n v="3"/>
    <x v="3"/>
    <x v="0"/>
    <n v="1"/>
    <n v="1581"/>
    <n v="1"/>
    <x v="0"/>
    <n v="89"/>
    <n v="3"/>
    <n v="1"/>
    <x v="1"/>
    <n v="4"/>
    <x v="1"/>
    <n v="2061"/>
    <n v="11133"/>
    <n v="1"/>
    <s v="Y"/>
    <s v="No"/>
    <n v="21"/>
    <n v="4"/>
    <n v="1"/>
    <n v="80"/>
    <n v="0"/>
    <n v="1"/>
    <n v="5"/>
    <n v="3"/>
    <n v="1"/>
    <n v="0"/>
    <n v="0"/>
    <n v="0"/>
    <n v="0"/>
    <x v="2"/>
  </r>
  <r>
    <n v="38"/>
    <x v="1"/>
    <s v="Travel_Rarely"/>
    <n v="1245"/>
    <x v="0"/>
    <n v="14"/>
    <x v="3"/>
    <x v="0"/>
    <n v="1"/>
    <n v="1582"/>
    <n v="3"/>
    <x v="1"/>
    <n v="80"/>
    <n v="3"/>
    <n v="2"/>
    <x v="0"/>
    <n v="2"/>
    <x v="1"/>
    <n v="9924"/>
    <n v="12355"/>
    <n v="0"/>
    <s v="Y"/>
    <s v="No"/>
    <n v="11"/>
    <n v="3"/>
    <n v="4"/>
    <n v="80"/>
    <n v="1"/>
    <n v="10"/>
    <n v="3"/>
    <n v="3"/>
    <n v="9"/>
    <n v="8"/>
    <n v="7"/>
    <n v="7"/>
    <n v="0"/>
    <x v="0"/>
  </r>
  <r>
    <n v="38"/>
    <x v="1"/>
    <s v="Travel_Rarely"/>
    <n v="437"/>
    <x v="0"/>
    <n v="16"/>
    <x v="3"/>
    <x v="0"/>
    <n v="1"/>
    <n v="1583"/>
    <n v="2"/>
    <x v="0"/>
    <n v="90"/>
    <n v="3"/>
    <n v="2"/>
    <x v="0"/>
    <n v="2"/>
    <x v="0"/>
    <n v="4198"/>
    <n v="16379"/>
    <n v="2"/>
    <s v="Y"/>
    <s v="No"/>
    <n v="12"/>
    <n v="3"/>
    <n v="2"/>
    <n v="80"/>
    <n v="0"/>
    <n v="8"/>
    <n v="5"/>
    <n v="4"/>
    <n v="3"/>
    <n v="2"/>
    <n v="1"/>
    <n v="2"/>
    <n v="0"/>
    <x v="0"/>
  </r>
  <r>
    <n v="36"/>
    <x v="1"/>
    <s v="Travel_Rarely"/>
    <n v="884"/>
    <x v="0"/>
    <n v="1"/>
    <x v="2"/>
    <x v="0"/>
    <n v="1"/>
    <n v="1585"/>
    <n v="2"/>
    <x v="0"/>
    <n v="73"/>
    <n v="3"/>
    <n v="2"/>
    <x v="0"/>
    <n v="3"/>
    <x v="0"/>
    <n v="6815"/>
    <n v="21447"/>
    <n v="6"/>
    <s v="Y"/>
    <s v="No"/>
    <n v="13"/>
    <n v="3"/>
    <n v="1"/>
    <n v="80"/>
    <n v="0"/>
    <n v="15"/>
    <n v="5"/>
    <n v="3"/>
    <n v="1"/>
    <n v="0"/>
    <n v="0"/>
    <n v="0"/>
    <n v="0"/>
    <x v="0"/>
  </r>
  <r>
    <n v="29"/>
    <x v="1"/>
    <s v="Travel_Rarely"/>
    <n v="1370"/>
    <x v="1"/>
    <n v="3"/>
    <x v="1"/>
    <x v="2"/>
    <n v="1"/>
    <n v="1586"/>
    <n v="2"/>
    <x v="1"/>
    <n v="87"/>
    <n v="3"/>
    <n v="1"/>
    <x v="2"/>
    <n v="1"/>
    <x v="0"/>
    <n v="4723"/>
    <n v="16213"/>
    <n v="1"/>
    <s v="Y"/>
    <s v="Yes"/>
    <n v="18"/>
    <n v="3"/>
    <n v="4"/>
    <n v="80"/>
    <n v="0"/>
    <n v="10"/>
    <n v="3"/>
    <n v="3"/>
    <n v="10"/>
    <n v="9"/>
    <n v="1"/>
    <n v="5"/>
    <n v="0"/>
    <x v="2"/>
  </r>
  <r>
    <n v="35"/>
    <x v="1"/>
    <s v="Travel_Rarely"/>
    <n v="670"/>
    <x v="1"/>
    <n v="10"/>
    <x v="2"/>
    <x v="2"/>
    <n v="1"/>
    <n v="1587"/>
    <n v="1"/>
    <x v="0"/>
    <n v="51"/>
    <n v="3"/>
    <n v="2"/>
    <x v="4"/>
    <n v="3"/>
    <x v="0"/>
    <n v="6142"/>
    <n v="4223"/>
    <n v="3"/>
    <s v="Y"/>
    <s v="Yes"/>
    <n v="16"/>
    <n v="3"/>
    <n v="3"/>
    <n v="80"/>
    <n v="0"/>
    <n v="10"/>
    <n v="4"/>
    <n v="3"/>
    <n v="5"/>
    <n v="2"/>
    <n v="0"/>
    <n v="4"/>
    <n v="0"/>
    <x v="0"/>
  </r>
  <r>
    <n v="39"/>
    <x v="1"/>
    <s v="Travel_Rarely"/>
    <n v="1462"/>
    <x v="0"/>
    <n v="6"/>
    <x v="3"/>
    <x v="2"/>
    <n v="1"/>
    <n v="1588"/>
    <n v="4"/>
    <x v="1"/>
    <n v="38"/>
    <n v="4"/>
    <n v="3"/>
    <x v="0"/>
    <n v="3"/>
    <x v="1"/>
    <n v="8237"/>
    <n v="4658"/>
    <n v="2"/>
    <s v="Y"/>
    <s v="No"/>
    <n v="11"/>
    <n v="3"/>
    <n v="1"/>
    <n v="80"/>
    <n v="1"/>
    <n v="11"/>
    <n v="3"/>
    <n v="3"/>
    <n v="7"/>
    <n v="6"/>
    <n v="7"/>
    <n v="6"/>
    <n v="0"/>
    <x v="0"/>
  </r>
  <r>
    <n v="29"/>
    <x v="1"/>
    <s v="Travel_Frequently"/>
    <n v="995"/>
    <x v="1"/>
    <n v="2"/>
    <x v="1"/>
    <x v="0"/>
    <n v="1"/>
    <n v="1590"/>
    <n v="1"/>
    <x v="1"/>
    <n v="87"/>
    <n v="3"/>
    <n v="2"/>
    <x v="4"/>
    <n v="4"/>
    <x v="2"/>
    <n v="8853"/>
    <n v="24483"/>
    <n v="1"/>
    <s v="Y"/>
    <s v="No"/>
    <n v="19"/>
    <n v="3"/>
    <n v="4"/>
    <n v="80"/>
    <n v="1"/>
    <n v="6"/>
    <n v="0"/>
    <n v="4"/>
    <n v="6"/>
    <n v="4"/>
    <n v="1"/>
    <n v="3"/>
    <n v="0"/>
    <x v="2"/>
  </r>
  <r>
    <n v="50"/>
    <x v="1"/>
    <s v="Travel_Rarely"/>
    <n v="264"/>
    <x v="0"/>
    <n v="9"/>
    <x v="3"/>
    <x v="3"/>
    <n v="1"/>
    <n v="1591"/>
    <n v="3"/>
    <x v="1"/>
    <n v="59"/>
    <n v="3"/>
    <n v="5"/>
    <x v="5"/>
    <n v="3"/>
    <x v="1"/>
    <n v="19331"/>
    <n v="19519"/>
    <n v="4"/>
    <s v="Y"/>
    <s v="Yes"/>
    <n v="16"/>
    <n v="3"/>
    <n v="3"/>
    <n v="80"/>
    <n v="1"/>
    <n v="27"/>
    <n v="2"/>
    <n v="3"/>
    <n v="1"/>
    <n v="0"/>
    <n v="0"/>
    <n v="0"/>
    <n v="0"/>
    <x v="1"/>
  </r>
  <r>
    <n v="23"/>
    <x v="1"/>
    <s v="Travel_Rarely"/>
    <n v="977"/>
    <x v="1"/>
    <n v="10"/>
    <x v="3"/>
    <x v="4"/>
    <n v="1"/>
    <n v="1592"/>
    <n v="4"/>
    <x v="1"/>
    <n v="45"/>
    <n v="4"/>
    <n v="1"/>
    <x v="1"/>
    <n v="3"/>
    <x v="1"/>
    <n v="2073"/>
    <n v="12826"/>
    <n v="2"/>
    <s v="Y"/>
    <s v="No"/>
    <n v="16"/>
    <n v="3"/>
    <n v="4"/>
    <n v="80"/>
    <n v="1"/>
    <n v="4"/>
    <n v="2"/>
    <n v="3"/>
    <n v="2"/>
    <n v="2"/>
    <n v="2"/>
    <n v="2"/>
    <n v="0"/>
    <x v="4"/>
  </r>
  <r>
    <n v="36"/>
    <x v="1"/>
    <s v="Travel_Frequently"/>
    <n v="1302"/>
    <x v="1"/>
    <n v="6"/>
    <x v="2"/>
    <x v="0"/>
    <n v="1"/>
    <n v="1594"/>
    <n v="1"/>
    <x v="1"/>
    <n v="80"/>
    <n v="4"/>
    <n v="2"/>
    <x v="2"/>
    <n v="1"/>
    <x v="1"/>
    <n v="5562"/>
    <n v="19711"/>
    <n v="3"/>
    <s v="Y"/>
    <s v="Yes"/>
    <n v="13"/>
    <n v="3"/>
    <n v="4"/>
    <n v="80"/>
    <n v="1"/>
    <n v="9"/>
    <n v="3"/>
    <n v="3"/>
    <n v="3"/>
    <n v="2"/>
    <n v="0"/>
    <n v="2"/>
    <n v="0"/>
    <x v="0"/>
  </r>
  <r>
    <n v="42"/>
    <x v="1"/>
    <s v="Travel_Rarely"/>
    <n v="1059"/>
    <x v="1"/>
    <n v="9"/>
    <x v="0"/>
    <x v="1"/>
    <n v="1"/>
    <n v="1595"/>
    <n v="4"/>
    <x v="1"/>
    <n v="93"/>
    <n v="2"/>
    <n v="5"/>
    <x v="5"/>
    <n v="4"/>
    <x v="0"/>
    <n v="19613"/>
    <n v="26362"/>
    <n v="8"/>
    <s v="Y"/>
    <s v="No"/>
    <n v="22"/>
    <n v="4"/>
    <n v="4"/>
    <n v="80"/>
    <n v="0"/>
    <n v="24"/>
    <n v="2"/>
    <n v="3"/>
    <n v="1"/>
    <n v="0"/>
    <n v="0"/>
    <n v="1"/>
    <n v="0"/>
    <x v="0"/>
  </r>
  <r>
    <n v="35"/>
    <x v="1"/>
    <s v="Travel_Rarely"/>
    <n v="750"/>
    <x v="1"/>
    <n v="28"/>
    <x v="3"/>
    <x v="0"/>
    <n v="1"/>
    <n v="1596"/>
    <n v="2"/>
    <x v="1"/>
    <n v="46"/>
    <n v="4"/>
    <n v="2"/>
    <x v="2"/>
    <n v="3"/>
    <x v="1"/>
    <n v="3407"/>
    <n v="25348"/>
    <n v="1"/>
    <s v="Y"/>
    <s v="No"/>
    <n v="17"/>
    <n v="3"/>
    <n v="4"/>
    <n v="80"/>
    <n v="2"/>
    <n v="10"/>
    <n v="3"/>
    <n v="2"/>
    <n v="10"/>
    <n v="9"/>
    <n v="6"/>
    <n v="8"/>
    <n v="0"/>
    <x v="0"/>
  </r>
  <r>
    <n v="34"/>
    <x v="1"/>
    <s v="Travel_Frequently"/>
    <n v="653"/>
    <x v="1"/>
    <n v="10"/>
    <x v="2"/>
    <x v="4"/>
    <n v="1"/>
    <n v="1597"/>
    <n v="4"/>
    <x v="1"/>
    <n v="92"/>
    <n v="2"/>
    <n v="2"/>
    <x v="4"/>
    <n v="3"/>
    <x v="1"/>
    <n v="5063"/>
    <n v="15332"/>
    <n v="1"/>
    <s v="Y"/>
    <s v="No"/>
    <n v="14"/>
    <n v="3"/>
    <n v="2"/>
    <n v="80"/>
    <n v="1"/>
    <n v="8"/>
    <n v="3"/>
    <n v="2"/>
    <n v="8"/>
    <n v="2"/>
    <n v="7"/>
    <n v="7"/>
    <n v="0"/>
    <x v="2"/>
  </r>
  <r>
    <n v="40"/>
    <x v="1"/>
    <s v="Travel_Rarely"/>
    <n v="118"/>
    <x v="0"/>
    <n v="14"/>
    <x v="0"/>
    <x v="0"/>
    <n v="1"/>
    <n v="1598"/>
    <n v="4"/>
    <x v="0"/>
    <n v="84"/>
    <n v="3"/>
    <n v="2"/>
    <x v="0"/>
    <n v="1"/>
    <x v="1"/>
    <n v="4639"/>
    <n v="11262"/>
    <n v="1"/>
    <s v="Y"/>
    <s v="No"/>
    <n v="15"/>
    <n v="3"/>
    <n v="3"/>
    <n v="80"/>
    <n v="1"/>
    <n v="5"/>
    <n v="2"/>
    <n v="3"/>
    <n v="5"/>
    <n v="4"/>
    <n v="1"/>
    <n v="2"/>
    <n v="0"/>
    <x v="0"/>
  </r>
  <r>
    <n v="43"/>
    <x v="1"/>
    <s v="Travel_Rarely"/>
    <n v="990"/>
    <x v="1"/>
    <n v="27"/>
    <x v="3"/>
    <x v="4"/>
    <n v="1"/>
    <n v="1599"/>
    <n v="4"/>
    <x v="1"/>
    <n v="87"/>
    <n v="4"/>
    <n v="1"/>
    <x v="2"/>
    <n v="2"/>
    <x v="2"/>
    <n v="4876"/>
    <n v="5855"/>
    <n v="5"/>
    <s v="Y"/>
    <s v="No"/>
    <n v="12"/>
    <n v="3"/>
    <n v="3"/>
    <n v="80"/>
    <n v="1"/>
    <n v="8"/>
    <n v="0"/>
    <n v="3"/>
    <n v="6"/>
    <n v="4"/>
    <n v="0"/>
    <n v="2"/>
    <n v="0"/>
    <x v="0"/>
  </r>
  <r>
    <n v="35"/>
    <x v="1"/>
    <s v="Travel_Rarely"/>
    <n v="1349"/>
    <x v="1"/>
    <n v="7"/>
    <x v="0"/>
    <x v="0"/>
    <n v="1"/>
    <n v="1601"/>
    <n v="3"/>
    <x v="1"/>
    <n v="63"/>
    <n v="2"/>
    <n v="1"/>
    <x v="2"/>
    <n v="4"/>
    <x v="1"/>
    <n v="2690"/>
    <n v="7713"/>
    <n v="1"/>
    <s v="Y"/>
    <s v="No"/>
    <n v="18"/>
    <n v="3"/>
    <n v="4"/>
    <n v="80"/>
    <n v="1"/>
    <n v="1"/>
    <n v="5"/>
    <n v="2"/>
    <n v="1"/>
    <n v="0"/>
    <n v="0"/>
    <n v="1"/>
    <n v="0"/>
    <x v="0"/>
  </r>
  <r>
    <n v="46"/>
    <x v="1"/>
    <s v="Travel_Rarely"/>
    <n v="563"/>
    <x v="0"/>
    <n v="1"/>
    <x v="2"/>
    <x v="0"/>
    <n v="1"/>
    <n v="1602"/>
    <n v="4"/>
    <x v="1"/>
    <n v="56"/>
    <n v="4"/>
    <n v="4"/>
    <x v="5"/>
    <n v="1"/>
    <x v="0"/>
    <n v="17567"/>
    <n v="3156"/>
    <n v="1"/>
    <s v="Y"/>
    <s v="No"/>
    <n v="15"/>
    <n v="3"/>
    <n v="2"/>
    <n v="80"/>
    <n v="0"/>
    <n v="27"/>
    <n v="5"/>
    <n v="1"/>
    <n v="26"/>
    <n v="0"/>
    <n v="0"/>
    <n v="12"/>
    <n v="0"/>
    <x v="1"/>
  </r>
  <r>
    <n v="28"/>
    <x v="0"/>
    <s v="Travel_Rarely"/>
    <n v="329"/>
    <x v="1"/>
    <n v="24"/>
    <x v="3"/>
    <x v="2"/>
    <n v="1"/>
    <n v="1604"/>
    <n v="3"/>
    <x v="1"/>
    <n v="51"/>
    <n v="3"/>
    <n v="1"/>
    <x v="2"/>
    <n v="2"/>
    <x v="1"/>
    <n v="2408"/>
    <n v="7324"/>
    <n v="1"/>
    <s v="Y"/>
    <s v="Yes"/>
    <n v="17"/>
    <n v="3"/>
    <n v="3"/>
    <n v="80"/>
    <n v="3"/>
    <n v="1"/>
    <n v="3"/>
    <n v="3"/>
    <n v="1"/>
    <n v="1"/>
    <n v="0"/>
    <n v="0"/>
    <n v="1"/>
    <x v="2"/>
  </r>
  <r>
    <n v="22"/>
    <x v="1"/>
    <s v="Non-Travel"/>
    <n v="457"/>
    <x v="1"/>
    <n v="26"/>
    <x v="0"/>
    <x v="1"/>
    <n v="1"/>
    <n v="1605"/>
    <n v="2"/>
    <x v="0"/>
    <n v="85"/>
    <n v="2"/>
    <n v="1"/>
    <x v="1"/>
    <n v="3"/>
    <x v="1"/>
    <n v="2814"/>
    <n v="10293"/>
    <n v="1"/>
    <s v="Y"/>
    <s v="Yes"/>
    <n v="14"/>
    <n v="3"/>
    <n v="2"/>
    <n v="80"/>
    <n v="0"/>
    <n v="4"/>
    <n v="2"/>
    <n v="2"/>
    <n v="4"/>
    <n v="2"/>
    <n v="1"/>
    <n v="3"/>
    <n v="0"/>
    <x v="4"/>
  </r>
  <r>
    <n v="50"/>
    <x v="1"/>
    <s v="Travel_Frequently"/>
    <n v="1234"/>
    <x v="1"/>
    <n v="20"/>
    <x v="4"/>
    <x v="2"/>
    <n v="1"/>
    <n v="1606"/>
    <n v="2"/>
    <x v="1"/>
    <n v="41"/>
    <n v="3"/>
    <n v="4"/>
    <x v="4"/>
    <n v="3"/>
    <x v="1"/>
    <n v="11245"/>
    <n v="20689"/>
    <n v="2"/>
    <s v="Y"/>
    <s v="Yes"/>
    <n v="15"/>
    <n v="3"/>
    <n v="3"/>
    <n v="80"/>
    <n v="1"/>
    <n v="32"/>
    <n v="3"/>
    <n v="3"/>
    <n v="30"/>
    <n v="8"/>
    <n v="12"/>
    <n v="13"/>
    <n v="0"/>
    <x v="1"/>
  </r>
  <r>
    <n v="32"/>
    <x v="1"/>
    <s v="Travel_Rarely"/>
    <n v="634"/>
    <x v="1"/>
    <n v="5"/>
    <x v="2"/>
    <x v="1"/>
    <n v="1"/>
    <n v="1607"/>
    <n v="2"/>
    <x v="0"/>
    <n v="35"/>
    <n v="4"/>
    <n v="1"/>
    <x v="1"/>
    <n v="4"/>
    <x v="1"/>
    <n v="3312"/>
    <n v="18783"/>
    <n v="3"/>
    <s v="Y"/>
    <s v="No"/>
    <n v="17"/>
    <n v="3"/>
    <n v="4"/>
    <n v="80"/>
    <n v="2"/>
    <n v="6"/>
    <n v="3"/>
    <n v="3"/>
    <n v="3"/>
    <n v="2"/>
    <n v="0"/>
    <n v="2"/>
    <n v="0"/>
    <x v="2"/>
  </r>
  <r>
    <n v="44"/>
    <x v="1"/>
    <s v="Travel_Rarely"/>
    <n v="1313"/>
    <x v="1"/>
    <n v="7"/>
    <x v="3"/>
    <x v="2"/>
    <n v="1"/>
    <n v="1608"/>
    <n v="2"/>
    <x v="0"/>
    <n v="31"/>
    <n v="3"/>
    <n v="5"/>
    <x v="7"/>
    <n v="4"/>
    <x v="2"/>
    <n v="19049"/>
    <n v="3549"/>
    <n v="0"/>
    <s v="Y"/>
    <s v="Yes"/>
    <n v="14"/>
    <n v="3"/>
    <n v="4"/>
    <n v="80"/>
    <n v="1"/>
    <n v="23"/>
    <n v="4"/>
    <n v="2"/>
    <n v="22"/>
    <n v="7"/>
    <n v="1"/>
    <n v="10"/>
    <n v="0"/>
    <x v="0"/>
  </r>
  <r>
    <n v="30"/>
    <x v="1"/>
    <s v="Travel_Rarely"/>
    <n v="241"/>
    <x v="1"/>
    <n v="7"/>
    <x v="3"/>
    <x v="2"/>
    <n v="1"/>
    <n v="1609"/>
    <n v="2"/>
    <x v="1"/>
    <n v="48"/>
    <n v="2"/>
    <n v="1"/>
    <x v="1"/>
    <n v="2"/>
    <x v="1"/>
    <n v="2141"/>
    <n v="5348"/>
    <n v="1"/>
    <s v="Y"/>
    <s v="No"/>
    <n v="12"/>
    <n v="3"/>
    <n v="2"/>
    <n v="80"/>
    <n v="1"/>
    <n v="6"/>
    <n v="3"/>
    <n v="2"/>
    <n v="6"/>
    <n v="4"/>
    <n v="1"/>
    <n v="1"/>
    <n v="0"/>
    <x v="2"/>
  </r>
  <r>
    <n v="45"/>
    <x v="1"/>
    <s v="Travel_Rarely"/>
    <n v="1015"/>
    <x v="1"/>
    <n v="5"/>
    <x v="4"/>
    <x v="2"/>
    <n v="1"/>
    <n v="1611"/>
    <n v="3"/>
    <x v="0"/>
    <n v="50"/>
    <n v="1"/>
    <n v="2"/>
    <x v="2"/>
    <n v="1"/>
    <x v="0"/>
    <n v="5769"/>
    <n v="23447"/>
    <n v="1"/>
    <s v="Y"/>
    <s v="Yes"/>
    <n v="14"/>
    <n v="3"/>
    <n v="1"/>
    <n v="80"/>
    <n v="0"/>
    <n v="10"/>
    <n v="3"/>
    <n v="3"/>
    <n v="10"/>
    <n v="7"/>
    <n v="1"/>
    <n v="4"/>
    <n v="0"/>
    <x v="1"/>
  </r>
  <r>
    <n v="45"/>
    <x v="1"/>
    <s v="Non-Travel"/>
    <n v="336"/>
    <x v="0"/>
    <n v="26"/>
    <x v="3"/>
    <x v="3"/>
    <n v="1"/>
    <n v="1612"/>
    <n v="1"/>
    <x v="1"/>
    <n v="52"/>
    <n v="2"/>
    <n v="2"/>
    <x v="0"/>
    <n v="1"/>
    <x v="1"/>
    <n v="4385"/>
    <n v="24162"/>
    <n v="1"/>
    <s v="Y"/>
    <s v="No"/>
    <n v="15"/>
    <n v="3"/>
    <n v="1"/>
    <n v="80"/>
    <n v="1"/>
    <n v="10"/>
    <n v="2"/>
    <n v="3"/>
    <n v="10"/>
    <n v="7"/>
    <n v="4"/>
    <n v="5"/>
    <n v="0"/>
    <x v="1"/>
  </r>
  <r>
    <n v="31"/>
    <x v="1"/>
    <s v="Travel_Frequently"/>
    <n v="715"/>
    <x v="0"/>
    <n v="2"/>
    <x v="2"/>
    <x v="1"/>
    <n v="1"/>
    <n v="1613"/>
    <n v="4"/>
    <x v="1"/>
    <n v="54"/>
    <n v="3"/>
    <n v="2"/>
    <x v="0"/>
    <n v="1"/>
    <x v="0"/>
    <n v="5332"/>
    <n v="21602"/>
    <n v="7"/>
    <s v="Y"/>
    <s v="No"/>
    <n v="13"/>
    <n v="3"/>
    <n v="4"/>
    <n v="80"/>
    <n v="0"/>
    <n v="10"/>
    <n v="3"/>
    <n v="3"/>
    <n v="5"/>
    <n v="2"/>
    <n v="0"/>
    <n v="3"/>
    <n v="0"/>
    <x v="2"/>
  </r>
  <r>
    <n v="36"/>
    <x v="1"/>
    <s v="Travel_Rarely"/>
    <n v="559"/>
    <x v="1"/>
    <n v="12"/>
    <x v="2"/>
    <x v="0"/>
    <n v="1"/>
    <n v="1614"/>
    <n v="3"/>
    <x v="0"/>
    <n v="76"/>
    <n v="3"/>
    <n v="2"/>
    <x v="3"/>
    <n v="3"/>
    <x v="1"/>
    <n v="4663"/>
    <n v="12421"/>
    <n v="9"/>
    <s v="Y"/>
    <s v="Yes"/>
    <n v="12"/>
    <n v="3"/>
    <n v="2"/>
    <n v="80"/>
    <n v="2"/>
    <n v="7"/>
    <n v="2"/>
    <n v="3"/>
    <n v="3"/>
    <n v="2"/>
    <n v="1"/>
    <n v="1"/>
    <n v="0"/>
    <x v="0"/>
  </r>
  <r>
    <n v="34"/>
    <x v="1"/>
    <s v="Travel_Frequently"/>
    <n v="426"/>
    <x v="1"/>
    <n v="10"/>
    <x v="2"/>
    <x v="0"/>
    <n v="1"/>
    <n v="1615"/>
    <n v="3"/>
    <x v="1"/>
    <n v="42"/>
    <n v="4"/>
    <n v="2"/>
    <x v="3"/>
    <n v="4"/>
    <x v="2"/>
    <n v="4724"/>
    <n v="17000"/>
    <n v="1"/>
    <s v="Y"/>
    <s v="No"/>
    <n v="13"/>
    <n v="3"/>
    <n v="1"/>
    <n v="80"/>
    <n v="1"/>
    <n v="9"/>
    <n v="3"/>
    <n v="3"/>
    <n v="9"/>
    <n v="7"/>
    <n v="7"/>
    <n v="2"/>
    <n v="0"/>
    <x v="2"/>
  </r>
  <r>
    <n v="49"/>
    <x v="1"/>
    <s v="Travel_Rarely"/>
    <n v="722"/>
    <x v="1"/>
    <n v="25"/>
    <x v="2"/>
    <x v="0"/>
    <n v="1"/>
    <n v="1617"/>
    <n v="3"/>
    <x v="0"/>
    <n v="84"/>
    <n v="3"/>
    <n v="1"/>
    <x v="2"/>
    <n v="1"/>
    <x v="1"/>
    <n v="3211"/>
    <n v="22102"/>
    <n v="1"/>
    <s v="Y"/>
    <s v="No"/>
    <n v="14"/>
    <n v="3"/>
    <n v="4"/>
    <n v="80"/>
    <n v="1"/>
    <n v="10"/>
    <n v="3"/>
    <n v="2"/>
    <n v="9"/>
    <n v="6"/>
    <n v="1"/>
    <n v="4"/>
    <n v="0"/>
    <x v="1"/>
  </r>
  <r>
    <n v="39"/>
    <x v="1"/>
    <s v="Travel_Rarely"/>
    <n v="1387"/>
    <x v="1"/>
    <n v="10"/>
    <x v="4"/>
    <x v="2"/>
    <n v="1"/>
    <n v="1618"/>
    <n v="2"/>
    <x v="1"/>
    <n v="76"/>
    <n v="3"/>
    <n v="2"/>
    <x v="3"/>
    <n v="1"/>
    <x v="1"/>
    <n v="5377"/>
    <n v="3835"/>
    <n v="2"/>
    <s v="Y"/>
    <s v="No"/>
    <n v="13"/>
    <n v="3"/>
    <n v="4"/>
    <n v="80"/>
    <n v="3"/>
    <n v="10"/>
    <n v="3"/>
    <n v="3"/>
    <n v="7"/>
    <n v="7"/>
    <n v="7"/>
    <n v="7"/>
    <n v="0"/>
    <x v="0"/>
  </r>
  <r>
    <n v="27"/>
    <x v="1"/>
    <s v="Travel_Rarely"/>
    <n v="1302"/>
    <x v="1"/>
    <n v="19"/>
    <x v="3"/>
    <x v="1"/>
    <n v="1"/>
    <n v="1619"/>
    <n v="4"/>
    <x v="1"/>
    <n v="67"/>
    <n v="2"/>
    <n v="1"/>
    <x v="2"/>
    <n v="1"/>
    <x v="2"/>
    <n v="4066"/>
    <n v="16290"/>
    <n v="1"/>
    <s v="Y"/>
    <s v="No"/>
    <n v="11"/>
    <n v="3"/>
    <n v="1"/>
    <n v="80"/>
    <n v="2"/>
    <n v="7"/>
    <n v="3"/>
    <n v="3"/>
    <n v="7"/>
    <n v="7"/>
    <n v="0"/>
    <n v="7"/>
    <n v="0"/>
    <x v="2"/>
  </r>
  <r>
    <n v="35"/>
    <x v="1"/>
    <s v="Travel_Rarely"/>
    <n v="819"/>
    <x v="1"/>
    <n v="18"/>
    <x v="4"/>
    <x v="0"/>
    <n v="1"/>
    <n v="1621"/>
    <n v="2"/>
    <x v="1"/>
    <n v="48"/>
    <n v="4"/>
    <n v="2"/>
    <x v="1"/>
    <n v="1"/>
    <x v="1"/>
    <n v="5208"/>
    <n v="26312"/>
    <n v="1"/>
    <s v="Y"/>
    <s v="No"/>
    <n v="11"/>
    <n v="3"/>
    <n v="4"/>
    <n v="80"/>
    <n v="0"/>
    <n v="16"/>
    <n v="2"/>
    <n v="3"/>
    <n v="16"/>
    <n v="15"/>
    <n v="1"/>
    <n v="10"/>
    <n v="0"/>
    <x v="0"/>
  </r>
  <r>
    <n v="28"/>
    <x v="1"/>
    <s v="Travel_Rarely"/>
    <n v="580"/>
    <x v="1"/>
    <n v="27"/>
    <x v="3"/>
    <x v="2"/>
    <n v="1"/>
    <n v="1622"/>
    <n v="2"/>
    <x v="0"/>
    <n v="39"/>
    <n v="1"/>
    <n v="2"/>
    <x v="3"/>
    <n v="1"/>
    <x v="2"/>
    <n v="4877"/>
    <n v="20460"/>
    <n v="0"/>
    <s v="Y"/>
    <s v="No"/>
    <n v="21"/>
    <n v="4"/>
    <n v="2"/>
    <n v="80"/>
    <n v="1"/>
    <n v="6"/>
    <n v="5"/>
    <n v="2"/>
    <n v="5"/>
    <n v="3"/>
    <n v="0"/>
    <n v="0"/>
    <n v="0"/>
    <x v="2"/>
  </r>
  <r>
    <n v="21"/>
    <x v="1"/>
    <s v="Travel_Rarely"/>
    <n v="546"/>
    <x v="1"/>
    <n v="5"/>
    <x v="1"/>
    <x v="2"/>
    <n v="1"/>
    <n v="1623"/>
    <n v="3"/>
    <x v="1"/>
    <n v="97"/>
    <n v="3"/>
    <n v="1"/>
    <x v="1"/>
    <n v="4"/>
    <x v="0"/>
    <n v="3117"/>
    <n v="26009"/>
    <n v="1"/>
    <s v="Y"/>
    <s v="No"/>
    <n v="18"/>
    <n v="3"/>
    <n v="3"/>
    <n v="80"/>
    <n v="0"/>
    <n v="3"/>
    <n v="2"/>
    <n v="3"/>
    <n v="2"/>
    <n v="2"/>
    <n v="2"/>
    <n v="2"/>
    <n v="0"/>
    <x v="4"/>
  </r>
  <r>
    <n v="18"/>
    <x v="0"/>
    <s v="Travel_Frequently"/>
    <n v="544"/>
    <x v="0"/>
    <n v="3"/>
    <x v="0"/>
    <x v="2"/>
    <n v="1"/>
    <n v="1624"/>
    <n v="2"/>
    <x v="0"/>
    <n v="70"/>
    <n v="3"/>
    <n v="1"/>
    <x v="6"/>
    <n v="4"/>
    <x v="0"/>
    <n v="1569"/>
    <n v="18420"/>
    <n v="1"/>
    <s v="Y"/>
    <s v="Yes"/>
    <n v="12"/>
    <n v="3"/>
    <n v="3"/>
    <n v="80"/>
    <n v="0"/>
    <n v="0"/>
    <n v="2"/>
    <n v="4"/>
    <n v="0"/>
    <n v="0"/>
    <n v="0"/>
    <n v="0"/>
    <n v="1"/>
    <x v="4"/>
  </r>
  <r>
    <n v="47"/>
    <x v="1"/>
    <s v="Travel_Rarely"/>
    <n v="1176"/>
    <x v="2"/>
    <n v="26"/>
    <x v="2"/>
    <x v="0"/>
    <n v="1"/>
    <n v="1625"/>
    <n v="4"/>
    <x v="0"/>
    <n v="98"/>
    <n v="3"/>
    <n v="5"/>
    <x v="5"/>
    <n v="3"/>
    <x v="1"/>
    <n v="19658"/>
    <n v="5220"/>
    <n v="3"/>
    <s v="Y"/>
    <s v="No"/>
    <n v="11"/>
    <n v="3"/>
    <n v="3"/>
    <n v="80"/>
    <n v="1"/>
    <n v="27"/>
    <n v="2"/>
    <n v="3"/>
    <n v="5"/>
    <n v="2"/>
    <n v="1"/>
    <n v="0"/>
    <n v="0"/>
    <x v="1"/>
  </r>
  <r>
    <n v="39"/>
    <x v="1"/>
    <s v="Travel_Rarely"/>
    <n v="170"/>
    <x v="1"/>
    <n v="3"/>
    <x v="0"/>
    <x v="2"/>
    <n v="1"/>
    <n v="1627"/>
    <n v="3"/>
    <x v="1"/>
    <n v="76"/>
    <n v="2"/>
    <n v="2"/>
    <x v="2"/>
    <n v="3"/>
    <x v="2"/>
    <n v="3069"/>
    <n v="10302"/>
    <n v="0"/>
    <s v="Y"/>
    <s v="No"/>
    <n v="15"/>
    <n v="3"/>
    <n v="4"/>
    <n v="80"/>
    <n v="1"/>
    <n v="11"/>
    <n v="3"/>
    <n v="3"/>
    <n v="10"/>
    <n v="8"/>
    <n v="0"/>
    <n v="7"/>
    <n v="0"/>
    <x v="0"/>
  </r>
  <r>
    <n v="40"/>
    <x v="1"/>
    <s v="Travel_Rarely"/>
    <n v="884"/>
    <x v="1"/>
    <n v="15"/>
    <x v="3"/>
    <x v="0"/>
    <n v="1"/>
    <n v="1628"/>
    <n v="1"/>
    <x v="0"/>
    <n v="80"/>
    <n v="2"/>
    <n v="3"/>
    <x v="3"/>
    <n v="3"/>
    <x v="1"/>
    <n v="10435"/>
    <n v="25800"/>
    <n v="1"/>
    <s v="Y"/>
    <s v="No"/>
    <n v="13"/>
    <n v="3"/>
    <n v="4"/>
    <n v="80"/>
    <n v="2"/>
    <n v="18"/>
    <n v="2"/>
    <n v="3"/>
    <n v="18"/>
    <n v="15"/>
    <n v="14"/>
    <n v="12"/>
    <n v="0"/>
    <x v="0"/>
  </r>
  <r>
    <n v="35"/>
    <x v="1"/>
    <s v="Non-Travel"/>
    <n v="208"/>
    <x v="1"/>
    <n v="8"/>
    <x v="2"/>
    <x v="0"/>
    <n v="1"/>
    <n v="1630"/>
    <n v="3"/>
    <x v="0"/>
    <n v="52"/>
    <n v="3"/>
    <n v="2"/>
    <x v="4"/>
    <n v="3"/>
    <x v="1"/>
    <n v="4148"/>
    <n v="12250"/>
    <n v="1"/>
    <s v="Y"/>
    <s v="No"/>
    <n v="12"/>
    <n v="3"/>
    <n v="4"/>
    <n v="80"/>
    <n v="1"/>
    <n v="15"/>
    <n v="5"/>
    <n v="3"/>
    <n v="14"/>
    <n v="11"/>
    <n v="2"/>
    <n v="9"/>
    <n v="0"/>
    <x v="0"/>
  </r>
  <r>
    <n v="37"/>
    <x v="1"/>
    <s v="Travel_Rarely"/>
    <n v="671"/>
    <x v="1"/>
    <n v="19"/>
    <x v="3"/>
    <x v="0"/>
    <n v="1"/>
    <n v="1631"/>
    <n v="3"/>
    <x v="1"/>
    <n v="85"/>
    <n v="3"/>
    <n v="2"/>
    <x v="3"/>
    <n v="3"/>
    <x v="1"/>
    <n v="5768"/>
    <n v="26493"/>
    <n v="3"/>
    <s v="Y"/>
    <s v="No"/>
    <n v="17"/>
    <n v="3"/>
    <n v="1"/>
    <n v="80"/>
    <n v="3"/>
    <n v="9"/>
    <n v="2"/>
    <n v="2"/>
    <n v="4"/>
    <n v="3"/>
    <n v="0"/>
    <n v="2"/>
    <n v="0"/>
    <x v="0"/>
  </r>
  <r>
    <n v="39"/>
    <x v="1"/>
    <s v="Travel_Frequently"/>
    <n v="711"/>
    <x v="1"/>
    <n v="4"/>
    <x v="3"/>
    <x v="2"/>
    <n v="1"/>
    <n v="1633"/>
    <n v="1"/>
    <x v="0"/>
    <n v="81"/>
    <n v="3"/>
    <n v="2"/>
    <x v="3"/>
    <n v="3"/>
    <x v="0"/>
    <n v="5042"/>
    <n v="3140"/>
    <n v="0"/>
    <s v="Y"/>
    <s v="No"/>
    <n v="13"/>
    <n v="3"/>
    <n v="4"/>
    <n v="80"/>
    <n v="0"/>
    <n v="10"/>
    <n v="2"/>
    <n v="1"/>
    <n v="9"/>
    <n v="2"/>
    <n v="3"/>
    <n v="8"/>
    <n v="0"/>
    <x v="0"/>
  </r>
  <r>
    <n v="45"/>
    <x v="1"/>
    <s v="Travel_Rarely"/>
    <n v="1329"/>
    <x v="1"/>
    <n v="2"/>
    <x v="0"/>
    <x v="1"/>
    <n v="1"/>
    <n v="1635"/>
    <n v="4"/>
    <x v="0"/>
    <n v="59"/>
    <n v="2"/>
    <n v="2"/>
    <x v="3"/>
    <n v="4"/>
    <x v="2"/>
    <n v="5770"/>
    <n v="5388"/>
    <n v="1"/>
    <s v="Y"/>
    <s v="No"/>
    <n v="19"/>
    <n v="3"/>
    <n v="1"/>
    <n v="80"/>
    <n v="2"/>
    <n v="10"/>
    <n v="3"/>
    <n v="3"/>
    <n v="10"/>
    <n v="7"/>
    <n v="3"/>
    <n v="9"/>
    <n v="0"/>
    <x v="1"/>
  </r>
  <r>
    <n v="38"/>
    <x v="1"/>
    <s v="Travel_Rarely"/>
    <n v="397"/>
    <x v="1"/>
    <n v="2"/>
    <x v="0"/>
    <x v="2"/>
    <n v="1"/>
    <n v="1638"/>
    <n v="4"/>
    <x v="0"/>
    <n v="54"/>
    <n v="2"/>
    <n v="3"/>
    <x v="3"/>
    <n v="3"/>
    <x v="1"/>
    <n v="7756"/>
    <n v="14199"/>
    <n v="3"/>
    <s v="Y"/>
    <s v="Yes"/>
    <n v="19"/>
    <n v="3"/>
    <n v="4"/>
    <n v="80"/>
    <n v="1"/>
    <n v="10"/>
    <n v="6"/>
    <n v="4"/>
    <n v="5"/>
    <n v="4"/>
    <n v="0"/>
    <n v="2"/>
    <n v="0"/>
    <x v="0"/>
  </r>
  <r>
    <n v="35"/>
    <x v="0"/>
    <s v="Travel_Rarely"/>
    <n v="737"/>
    <x v="0"/>
    <n v="10"/>
    <x v="3"/>
    <x v="2"/>
    <n v="1"/>
    <n v="1639"/>
    <n v="4"/>
    <x v="1"/>
    <n v="55"/>
    <n v="2"/>
    <n v="3"/>
    <x v="0"/>
    <n v="1"/>
    <x v="1"/>
    <n v="10306"/>
    <n v="21530"/>
    <n v="9"/>
    <s v="Y"/>
    <s v="No"/>
    <n v="17"/>
    <n v="3"/>
    <n v="3"/>
    <n v="80"/>
    <n v="0"/>
    <n v="15"/>
    <n v="3"/>
    <n v="3"/>
    <n v="13"/>
    <n v="12"/>
    <n v="6"/>
    <n v="0"/>
    <n v="1"/>
    <x v="0"/>
  </r>
  <r>
    <n v="37"/>
    <x v="1"/>
    <s v="Travel_Rarely"/>
    <n v="1470"/>
    <x v="1"/>
    <n v="10"/>
    <x v="3"/>
    <x v="2"/>
    <n v="1"/>
    <n v="1640"/>
    <n v="2"/>
    <x v="0"/>
    <n v="71"/>
    <n v="3"/>
    <n v="1"/>
    <x v="1"/>
    <n v="2"/>
    <x v="1"/>
    <n v="3936"/>
    <n v="9953"/>
    <n v="1"/>
    <s v="Y"/>
    <s v="No"/>
    <n v="11"/>
    <n v="3"/>
    <n v="1"/>
    <n v="80"/>
    <n v="1"/>
    <n v="8"/>
    <n v="2"/>
    <n v="1"/>
    <n v="8"/>
    <n v="4"/>
    <n v="7"/>
    <n v="7"/>
    <n v="0"/>
    <x v="0"/>
  </r>
  <r>
    <n v="40"/>
    <x v="1"/>
    <s v="Travel_Rarely"/>
    <n v="448"/>
    <x v="1"/>
    <n v="16"/>
    <x v="3"/>
    <x v="0"/>
    <n v="1"/>
    <n v="1641"/>
    <n v="3"/>
    <x v="0"/>
    <n v="84"/>
    <n v="3"/>
    <n v="3"/>
    <x v="3"/>
    <n v="4"/>
    <x v="0"/>
    <n v="7945"/>
    <n v="19948"/>
    <n v="6"/>
    <s v="Y"/>
    <s v="Yes"/>
    <n v="15"/>
    <n v="3"/>
    <n v="4"/>
    <n v="80"/>
    <n v="0"/>
    <n v="18"/>
    <n v="2"/>
    <n v="2"/>
    <n v="4"/>
    <n v="2"/>
    <n v="3"/>
    <n v="3"/>
    <n v="0"/>
    <x v="0"/>
  </r>
  <r>
    <n v="44"/>
    <x v="1"/>
    <s v="Travel_Frequently"/>
    <n v="602"/>
    <x v="2"/>
    <n v="1"/>
    <x v="4"/>
    <x v="5"/>
    <n v="1"/>
    <n v="1642"/>
    <n v="1"/>
    <x v="1"/>
    <n v="37"/>
    <n v="3"/>
    <n v="2"/>
    <x v="8"/>
    <n v="4"/>
    <x v="1"/>
    <n v="5743"/>
    <n v="10503"/>
    <n v="4"/>
    <s v="Y"/>
    <s v="Yes"/>
    <n v="11"/>
    <n v="3"/>
    <n v="3"/>
    <n v="80"/>
    <n v="0"/>
    <n v="14"/>
    <n v="3"/>
    <n v="3"/>
    <n v="10"/>
    <n v="7"/>
    <n v="0"/>
    <n v="2"/>
    <n v="0"/>
    <x v="0"/>
  </r>
  <r>
    <n v="48"/>
    <x v="1"/>
    <s v="Travel_Frequently"/>
    <n v="365"/>
    <x v="1"/>
    <n v="4"/>
    <x v="4"/>
    <x v="2"/>
    <n v="1"/>
    <n v="1644"/>
    <n v="3"/>
    <x v="1"/>
    <n v="89"/>
    <n v="2"/>
    <n v="4"/>
    <x v="5"/>
    <n v="4"/>
    <x v="1"/>
    <n v="15202"/>
    <n v="5602"/>
    <n v="2"/>
    <s v="Y"/>
    <s v="No"/>
    <n v="25"/>
    <n v="4"/>
    <n v="2"/>
    <n v="80"/>
    <n v="1"/>
    <n v="23"/>
    <n v="3"/>
    <n v="3"/>
    <n v="2"/>
    <n v="2"/>
    <n v="2"/>
    <n v="2"/>
    <n v="0"/>
    <x v="1"/>
  </r>
  <r>
    <n v="35"/>
    <x v="0"/>
    <s v="Travel_Rarely"/>
    <n v="763"/>
    <x v="0"/>
    <n v="15"/>
    <x v="0"/>
    <x v="2"/>
    <n v="1"/>
    <n v="1645"/>
    <n v="1"/>
    <x v="1"/>
    <n v="59"/>
    <n v="1"/>
    <n v="2"/>
    <x v="0"/>
    <n v="4"/>
    <x v="2"/>
    <n v="5440"/>
    <n v="22098"/>
    <n v="6"/>
    <s v="Y"/>
    <s v="Yes"/>
    <n v="14"/>
    <n v="3"/>
    <n v="4"/>
    <n v="80"/>
    <n v="2"/>
    <n v="7"/>
    <n v="2"/>
    <n v="2"/>
    <n v="2"/>
    <n v="2"/>
    <n v="2"/>
    <n v="2"/>
    <n v="1"/>
    <x v="0"/>
  </r>
  <r>
    <n v="24"/>
    <x v="1"/>
    <s v="Travel_Frequently"/>
    <n v="567"/>
    <x v="1"/>
    <n v="2"/>
    <x v="1"/>
    <x v="4"/>
    <n v="1"/>
    <n v="1646"/>
    <n v="1"/>
    <x v="0"/>
    <n v="32"/>
    <n v="3"/>
    <n v="1"/>
    <x v="1"/>
    <n v="4"/>
    <x v="0"/>
    <n v="3760"/>
    <n v="17218"/>
    <n v="1"/>
    <s v="Y"/>
    <s v="Yes"/>
    <n v="13"/>
    <n v="3"/>
    <n v="3"/>
    <n v="80"/>
    <n v="0"/>
    <n v="6"/>
    <n v="2"/>
    <n v="3"/>
    <n v="6"/>
    <n v="3"/>
    <n v="1"/>
    <n v="3"/>
    <n v="0"/>
    <x v="4"/>
  </r>
  <r>
    <n v="27"/>
    <x v="1"/>
    <s v="Travel_Rarely"/>
    <n v="486"/>
    <x v="1"/>
    <n v="8"/>
    <x v="3"/>
    <x v="2"/>
    <n v="1"/>
    <n v="1647"/>
    <n v="2"/>
    <x v="0"/>
    <n v="86"/>
    <n v="4"/>
    <n v="1"/>
    <x v="1"/>
    <n v="3"/>
    <x v="1"/>
    <n v="3517"/>
    <n v="22490"/>
    <n v="7"/>
    <s v="Y"/>
    <s v="No"/>
    <n v="17"/>
    <n v="3"/>
    <n v="1"/>
    <n v="80"/>
    <n v="0"/>
    <n v="5"/>
    <n v="0"/>
    <n v="3"/>
    <n v="3"/>
    <n v="2"/>
    <n v="0"/>
    <n v="2"/>
    <n v="0"/>
    <x v="2"/>
  </r>
  <r>
    <n v="27"/>
    <x v="1"/>
    <s v="Travel_Frequently"/>
    <n v="591"/>
    <x v="1"/>
    <n v="2"/>
    <x v="3"/>
    <x v="2"/>
    <n v="1"/>
    <n v="1648"/>
    <n v="4"/>
    <x v="1"/>
    <n v="87"/>
    <n v="3"/>
    <n v="1"/>
    <x v="1"/>
    <n v="4"/>
    <x v="0"/>
    <n v="2580"/>
    <n v="6297"/>
    <n v="2"/>
    <s v="Y"/>
    <s v="No"/>
    <n v="13"/>
    <n v="3"/>
    <n v="3"/>
    <n v="80"/>
    <n v="0"/>
    <n v="6"/>
    <n v="0"/>
    <n v="2"/>
    <n v="4"/>
    <n v="2"/>
    <n v="1"/>
    <n v="2"/>
    <n v="0"/>
    <x v="2"/>
  </r>
  <r>
    <n v="40"/>
    <x v="0"/>
    <s v="Travel_Rarely"/>
    <n v="1329"/>
    <x v="1"/>
    <n v="7"/>
    <x v="3"/>
    <x v="0"/>
    <n v="1"/>
    <n v="1649"/>
    <n v="1"/>
    <x v="1"/>
    <n v="73"/>
    <n v="3"/>
    <n v="1"/>
    <x v="2"/>
    <n v="1"/>
    <x v="0"/>
    <n v="2166"/>
    <n v="3339"/>
    <n v="3"/>
    <s v="Y"/>
    <s v="Yes"/>
    <n v="14"/>
    <n v="3"/>
    <n v="2"/>
    <n v="80"/>
    <n v="0"/>
    <n v="10"/>
    <n v="3"/>
    <n v="1"/>
    <n v="4"/>
    <n v="2"/>
    <n v="0"/>
    <n v="3"/>
    <n v="1"/>
    <x v="0"/>
  </r>
  <r>
    <n v="29"/>
    <x v="1"/>
    <s v="Travel_Rarely"/>
    <n v="469"/>
    <x v="0"/>
    <n v="10"/>
    <x v="3"/>
    <x v="2"/>
    <n v="1"/>
    <n v="1650"/>
    <n v="3"/>
    <x v="1"/>
    <n v="42"/>
    <n v="2"/>
    <n v="2"/>
    <x v="0"/>
    <n v="3"/>
    <x v="0"/>
    <n v="5869"/>
    <n v="23413"/>
    <n v="9"/>
    <s v="Y"/>
    <s v="No"/>
    <n v="11"/>
    <n v="3"/>
    <n v="3"/>
    <n v="80"/>
    <n v="0"/>
    <n v="8"/>
    <n v="2"/>
    <n v="3"/>
    <n v="5"/>
    <n v="2"/>
    <n v="1"/>
    <n v="4"/>
    <n v="0"/>
    <x v="2"/>
  </r>
  <r>
    <n v="36"/>
    <x v="1"/>
    <s v="Travel_Rarely"/>
    <n v="711"/>
    <x v="1"/>
    <n v="5"/>
    <x v="2"/>
    <x v="0"/>
    <n v="1"/>
    <n v="1651"/>
    <n v="2"/>
    <x v="0"/>
    <n v="42"/>
    <n v="3"/>
    <n v="3"/>
    <x v="4"/>
    <n v="1"/>
    <x v="1"/>
    <n v="8008"/>
    <n v="22792"/>
    <n v="4"/>
    <s v="Y"/>
    <s v="No"/>
    <n v="12"/>
    <n v="3"/>
    <n v="3"/>
    <n v="80"/>
    <n v="2"/>
    <n v="9"/>
    <n v="6"/>
    <n v="3"/>
    <n v="3"/>
    <n v="2"/>
    <n v="0"/>
    <n v="2"/>
    <n v="0"/>
    <x v="0"/>
  </r>
  <r>
    <n v="25"/>
    <x v="1"/>
    <s v="Travel_Frequently"/>
    <n v="772"/>
    <x v="1"/>
    <n v="2"/>
    <x v="1"/>
    <x v="0"/>
    <n v="1"/>
    <n v="1653"/>
    <n v="4"/>
    <x v="1"/>
    <n v="77"/>
    <n v="4"/>
    <n v="2"/>
    <x v="3"/>
    <n v="3"/>
    <x v="2"/>
    <n v="5206"/>
    <n v="4973"/>
    <n v="1"/>
    <s v="Y"/>
    <s v="No"/>
    <n v="17"/>
    <n v="3"/>
    <n v="3"/>
    <n v="80"/>
    <n v="2"/>
    <n v="7"/>
    <n v="6"/>
    <n v="3"/>
    <n v="7"/>
    <n v="7"/>
    <n v="0"/>
    <n v="7"/>
    <n v="0"/>
    <x v="2"/>
  </r>
  <r>
    <n v="39"/>
    <x v="1"/>
    <s v="Travel_Rarely"/>
    <n v="492"/>
    <x v="1"/>
    <n v="12"/>
    <x v="3"/>
    <x v="2"/>
    <n v="1"/>
    <n v="1654"/>
    <n v="4"/>
    <x v="1"/>
    <n v="66"/>
    <n v="3"/>
    <n v="2"/>
    <x v="3"/>
    <n v="2"/>
    <x v="1"/>
    <n v="5295"/>
    <n v="7693"/>
    <n v="4"/>
    <s v="Y"/>
    <s v="No"/>
    <n v="21"/>
    <n v="4"/>
    <n v="3"/>
    <n v="80"/>
    <n v="0"/>
    <n v="7"/>
    <n v="3"/>
    <n v="3"/>
    <n v="5"/>
    <n v="4"/>
    <n v="1"/>
    <n v="0"/>
    <n v="0"/>
    <x v="0"/>
  </r>
  <r>
    <n v="49"/>
    <x v="1"/>
    <s v="Travel_Rarely"/>
    <n v="301"/>
    <x v="1"/>
    <n v="22"/>
    <x v="2"/>
    <x v="1"/>
    <n v="1"/>
    <n v="1655"/>
    <n v="1"/>
    <x v="0"/>
    <n v="72"/>
    <n v="3"/>
    <n v="4"/>
    <x v="7"/>
    <n v="2"/>
    <x v="1"/>
    <n v="16413"/>
    <n v="3498"/>
    <n v="3"/>
    <s v="Y"/>
    <s v="No"/>
    <n v="16"/>
    <n v="3"/>
    <n v="2"/>
    <n v="80"/>
    <n v="2"/>
    <n v="27"/>
    <n v="2"/>
    <n v="3"/>
    <n v="4"/>
    <n v="2"/>
    <n v="1"/>
    <n v="2"/>
    <n v="0"/>
    <x v="1"/>
  </r>
  <r>
    <n v="50"/>
    <x v="1"/>
    <s v="Travel_Rarely"/>
    <n v="813"/>
    <x v="1"/>
    <n v="17"/>
    <x v="4"/>
    <x v="0"/>
    <n v="1"/>
    <n v="1656"/>
    <n v="4"/>
    <x v="0"/>
    <n v="50"/>
    <n v="2"/>
    <n v="3"/>
    <x v="7"/>
    <n v="1"/>
    <x v="2"/>
    <n v="13269"/>
    <n v="21981"/>
    <n v="5"/>
    <s v="Y"/>
    <s v="No"/>
    <n v="15"/>
    <n v="3"/>
    <n v="3"/>
    <n v="80"/>
    <n v="3"/>
    <n v="19"/>
    <n v="3"/>
    <n v="3"/>
    <n v="14"/>
    <n v="11"/>
    <n v="1"/>
    <n v="11"/>
    <n v="0"/>
    <x v="1"/>
  </r>
  <r>
    <n v="20"/>
    <x v="1"/>
    <s v="Travel_Rarely"/>
    <n v="1141"/>
    <x v="0"/>
    <n v="2"/>
    <x v="3"/>
    <x v="2"/>
    <n v="1"/>
    <n v="1657"/>
    <n v="3"/>
    <x v="0"/>
    <n v="31"/>
    <n v="3"/>
    <n v="1"/>
    <x v="6"/>
    <n v="3"/>
    <x v="0"/>
    <n v="2783"/>
    <n v="13251"/>
    <n v="1"/>
    <s v="Y"/>
    <s v="No"/>
    <n v="19"/>
    <n v="3"/>
    <n v="1"/>
    <n v="80"/>
    <n v="0"/>
    <n v="2"/>
    <n v="3"/>
    <n v="3"/>
    <n v="2"/>
    <n v="2"/>
    <n v="2"/>
    <n v="2"/>
    <n v="0"/>
    <x v="4"/>
  </r>
  <r>
    <n v="34"/>
    <x v="1"/>
    <s v="Travel_Rarely"/>
    <n v="1130"/>
    <x v="1"/>
    <n v="3"/>
    <x v="3"/>
    <x v="0"/>
    <n v="1"/>
    <n v="1658"/>
    <n v="4"/>
    <x v="0"/>
    <n v="66"/>
    <n v="3"/>
    <n v="2"/>
    <x v="1"/>
    <n v="2"/>
    <x v="2"/>
    <n v="5433"/>
    <n v="19332"/>
    <n v="1"/>
    <s v="Y"/>
    <s v="No"/>
    <n v="12"/>
    <n v="3"/>
    <n v="3"/>
    <n v="80"/>
    <n v="1"/>
    <n v="11"/>
    <n v="2"/>
    <n v="3"/>
    <n v="11"/>
    <n v="8"/>
    <n v="7"/>
    <n v="9"/>
    <n v="0"/>
    <x v="2"/>
  </r>
  <r>
    <n v="36"/>
    <x v="1"/>
    <s v="Travel_Rarely"/>
    <n v="311"/>
    <x v="1"/>
    <n v="7"/>
    <x v="3"/>
    <x v="0"/>
    <n v="1"/>
    <n v="1659"/>
    <n v="1"/>
    <x v="1"/>
    <n v="77"/>
    <n v="3"/>
    <n v="1"/>
    <x v="2"/>
    <n v="2"/>
    <x v="0"/>
    <n v="2013"/>
    <n v="10950"/>
    <n v="2"/>
    <s v="Y"/>
    <s v="No"/>
    <n v="11"/>
    <n v="3"/>
    <n v="3"/>
    <n v="80"/>
    <n v="0"/>
    <n v="15"/>
    <n v="4"/>
    <n v="3"/>
    <n v="4"/>
    <n v="3"/>
    <n v="1"/>
    <n v="3"/>
    <n v="0"/>
    <x v="0"/>
  </r>
  <r>
    <n v="49"/>
    <x v="1"/>
    <s v="Travel_Rarely"/>
    <n v="465"/>
    <x v="1"/>
    <n v="6"/>
    <x v="1"/>
    <x v="0"/>
    <n v="1"/>
    <n v="1661"/>
    <n v="3"/>
    <x v="0"/>
    <n v="41"/>
    <n v="2"/>
    <n v="4"/>
    <x v="4"/>
    <n v="3"/>
    <x v="1"/>
    <n v="13966"/>
    <n v="11652"/>
    <n v="2"/>
    <s v="Y"/>
    <s v="Yes"/>
    <n v="19"/>
    <n v="3"/>
    <n v="2"/>
    <n v="80"/>
    <n v="1"/>
    <n v="30"/>
    <n v="3"/>
    <n v="3"/>
    <n v="15"/>
    <n v="11"/>
    <n v="2"/>
    <n v="12"/>
    <n v="0"/>
    <x v="1"/>
  </r>
  <r>
    <n v="36"/>
    <x v="1"/>
    <s v="Non-Travel"/>
    <n v="894"/>
    <x v="1"/>
    <n v="1"/>
    <x v="2"/>
    <x v="2"/>
    <n v="1"/>
    <n v="1662"/>
    <n v="4"/>
    <x v="0"/>
    <n v="33"/>
    <n v="2"/>
    <n v="2"/>
    <x v="3"/>
    <n v="3"/>
    <x v="1"/>
    <n v="4374"/>
    <n v="15411"/>
    <n v="0"/>
    <s v="Y"/>
    <s v="No"/>
    <n v="15"/>
    <n v="3"/>
    <n v="3"/>
    <n v="80"/>
    <n v="0"/>
    <n v="4"/>
    <n v="6"/>
    <n v="3"/>
    <n v="3"/>
    <n v="2"/>
    <n v="1"/>
    <n v="2"/>
    <n v="0"/>
    <x v="0"/>
  </r>
  <r>
    <n v="36"/>
    <x v="1"/>
    <s v="Travel_Rarely"/>
    <n v="1040"/>
    <x v="1"/>
    <n v="3"/>
    <x v="0"/>
    <x v="0"/>
    <n v="1"/>
    <n v="1664"/>
    <n v="4"/>
    <x v="1"/>
    <n v="79"/>
    <n v="4"/>
    <n v="2"/>
    <x v="4"/>
    <n v="1"/>
    <x v="2"/>
    <n v="6842"/>
    <n v="26308"/>
    <n v="6"/>
    <s v="Y"/>
    <s v="No"/>
    <n v="20"/>
    <n v="4"/>
    <n v="1"/>
    <n v="80"/>
    <n v="1"/>
    <n v="13"/>
    <n v="3"/>
    <n v="3"/>
    <n v="5"/>
    <n v="4"/>
    <n v="0"/>
    <n v="4"/>
    <n v="0"/>
    <x v="0"/>
  </r>
  <r>
    <n v="54"/>
    <x v="1"/>
    <s v="Travel_Rarely"/>
    <n v="584"/>
    <x v="1"/>
    <n v="22"/>
    <x v="4"/>
    <x v="2"/>
    <n v="1"/>
    <n v="1665"/>
    <n v="2"/>
    <x v="0"/>
    <n v="91"/>
    <n v="3"/>
    <n v="4"/>
    <x v="5"/>
    <n v="3"/>
    <x v="1"/>
    <n v="17426"/>
    <n v="18685"/>
    <n v="3"/>
    <s v="Y"/>
    <s v="No"/>
    <n v="25"/>
    <n v="4"/>
    <n v="3"/>
    <n v="80"/>
    <n v="1"/>
    <n v="36"/>
    <n v="6"/>
    <n v="3"/>
    <n v="10"/>
    <n v="8"/>
    <n v="4"/>
    <n v="7"/>
    <n v="0"/>
    <x v="1"/>
  </r>
  <r>
    <n v="43"/>
    <x v="1"/>
    <s v="Travel_Rarely"/>
    <n v="1291"/>
    <x v="1"/>
    <n v="15"/>
    <x v="0"/>
    <x v="0"/>
    <n v="1"/>
    <n v="1666"/>
    <n v="3"/>
    <x v="1"/>
    <n v="65"/>
    <n v="2"/>
    <n v="4"/>
    <x v="7"/>
    <n v="3"/>
    <x v="1"/>
    <n v="17603"/>
    <n v="3525"/>
    <n v="1"/>
    <s v="Y"/>
    <s v="No"/>
    <n v="24"/>
    <n v="4"/>
    <n v="1"/>
    <n v="80"/>
    <n v="1"/>
    <n v="14"/>
    <n v="3"/>
    <n v="3"/>
    <n v="14"/>
    <n v="10"/>
    <n v="6"/>
    <n v="11"/>
    <n v="0"/>
    <x v="0"/>
  </r>
  <r>
    <n v="35"/>
    <x v="0"/>
    <s v="Travel_Frequently"/>
    <n v="880"/>
    <x v="0"/>
    <n v="12"/>
    <x v="2"/>
    <x v="1"/>
    <n v="1"/>
    <n v="1667"/>
    <n v="4"/>
    <x v="1"/>
    <n v="36"/>
    <n v="3"/>
    <n v="2"/>
    <x v="0"/>
    <n v="4"/>
    <x v="0"/>
    <n v="4581"/>
    <n v="10414"/>
    <n v="3"/>
    <s v="Y"/>
    <s v="Yes"/>
    <n v="24"/>
    <n v="4"/>
    <n v="1"/>
    <n v="80"/>
    <n v="0"/>
    <n v="13"/>
    <n v="2"/>
    <n v="4"/>
    <n v="11"/>
    <n v="9"/>
    <n v="6"/>
    <n v="7"/>
    <n v="1"/>
    <x v="0"/>
  </r>
  <r>
    <n v="38"/>
    <x v="1"/>
    <s v="Travel_Frequently"/>
    <n v="1189"/>
    <x v="1"/>
    <n v="1"/>
    <x v="3"/>
    <x v="0"/>
    <n v="1"/>
    <n v="1668"/>
    <n v="4"/>
    <x v="1"/>
    <n v="90"/>
    <n v="3"/>
    <n v="2"/>
    <x v="1"/>
    <n v="4"/>
    <x v="1"/>
    <n v="4735"/>
    <n v="9867"/>
    <n v="7"/>
    <s v="Y"/>
    <s v="No"/>
    <n v="15"/>
    <n v="3"/>
    <n v="4"/>
    <n v="80"/>
    <n v="2"/>
    <n v="19"/>
    <n v="4"/>
    <n v="4"/>
    <n v="13"/>
    <n v="11"/>
    <n v="2"/>
    <n v="9"/>
    <n v="0"/>
    <x v="0"/>
  </r>
  <r>
    <n v="29"/>
    <x v="1"/>
    <s v="Travel_Rarely"/>
    <n v="991"/>
    <x v="0"/>
    <n v="5"/>
    <x v="3"/>
    <x v="2"/>
    <n v="1"/>
    <n v="1669"/>
    <n v="1"/>
    <x v="1"/>
    <n v="43"/>
    <n v="2"/>
    <n v="2"/>
    <x v="0"/>
    <n v="2"/>
    <x v="2"/>
    <n v="4187"/>
    <n v="3356"/>
    <n v="1"/>
    <s v="Y"/>
    <s v="Yes"/>
    <n v="13"/>
    <n v="3"/>
    <n v="2"/>
    <n v="80"/>
    <n v="1"/>
    <n v="10"/>
    <n v="3"/>
    <n v="2"/>
    <n v="10"/>
    <n v="0"/>
    <n v="0"/>
    <n v="9"/>
    <n v="0"/>
    <x v="2"/>
  </r>
  <r>
    <n v="33"/>
    <x v="1"/>
    <s v="Travel_Rarely"/>
    <n v="392"/>
    <x v="0"/>
    <n v="2"/>
    <x v="2"/>
    <x v="2"/>
    <n v="1"/>
    <n v="1670"/>
    <n v="4"/>
    <x v="1"/>
    <n v="93"/>
    <n v="3"/>
    <n v="2"/>
    <x v="0"/>
    <n v="4"/>
    <x v="2"/>
    <n v="5505"/>
    <n v="3921"/>
    <n v="1"/>
    <s v="Y"/>
    <s v="No"/>
    <n v="14"/>
    <n v="3"/>
    <n v="3"/>
    <n v="80"/>
    <n v="2"/>
    <n v="6"/>
    <n v="5"/>
    <n v="3"/>
    <n v="6"/>
    <n v="2"/>
    <n v="0"/>
    <n v="4"/>
    <n v="0"/>
    <x v="2"/>
  </r>
  <r>
    <n v="32"/>
    <x v="1"/>
    <s v="Travel_Rarely"/>
    <n v="977"/>
    <x v="1"/>
    <n v="2"/>
    <x v="3"/>
    <x v="2"/>
    <n v="1"/>
    <n v="1671"/>
    <n v="4"/>
    <x v="1"/>
    <n v="45"/>
    <n v="3"/>
    <n v="2"/>
    <x v="1"/>
    <n v="2"/>
    <x v="2"/>
    <n v="5470"/>
    <n v="25518"/>
    <n v="0"/>
    <s v="Y"/>
    <s v="No"/>
    <n v="13"/>
    <n v="3"/>
    <n v="3"/>
    <n v="80"/>
    <n v="2"/>
    <n v="10"/>
    <n v="4"/>
    <n v="2"/>
    <n v="9"/>
    <n v="5"/>
    <n v="1"/>
    <n v="6"/>
    <n v="0"/>
    <x v="2"/>
  </r>
  <r>
    <n v="31"/>
    <x v="1"/>
    <s v="Travel_Rarely"/>
    <n v="1112"/>
    <x v="0"/>
    <n v="5"/>
    <x v="2"/>
    <x v="0"/>
    <n v="1"/>
    <n v="1673"/>
    <n v="1"/>
    <x v="0"/>
    <n v="67"/>
    <n v="3"/>
    <n v="2"/>
    <x v="0"/>
    <n v="4"/>
    <x v="1"/>
    <n v="5476"/>
    <n v="22589"/>
    <n v="1"/>
    <s v="Y"/>
    <s v="No"/>
    <n v="11"/>
    <n v="3"/>
    <n v="1"/>
    <n v="80"/>
    <n v="2"/>
    <n v="10"/>
    <n v="2"/>
    <n v="3"/>
    <n v="10"/>
    <n v="0"/>
    <n v="0"/>
    <n v="2"/>
    <n v="0"/>
    <x v="2"/>
  </r>
  <r>
    <n v="49"/>
    <x v="1"/>
    <s v="Travel_Rarely"/>
    <n v="464"/>
    <x v="1"/>
    <n v="16"/>
    <x v="3"/>
    <x v="2"/>
    <n v="1"/>
    <n v="1674"/>
    <n v="4"/>
    <x v="0"/>
    <n v="74"/>
    <n v="3"/>
    <n v="1"/>
    <x v="2"/>
    <n v="1"/>
    <x v="2"/>
    <n v="2587"/>
    <n v="24941"/>
    <n v="4"/>
    <s v="Y"/>
    <s v="Yes"/>
    <n v="16"/>
    <n v="3"/>
    <n v="2"/>
    <n v="80"/>
    <n v="1"/>
    <n v="17"/>
    <n v="2"/>
    <n v="2"/>
    <n v="2"/>
    <n v="2"/>
    <n v="2"/>
    <n v="2"/>
    <n v="0"/>
    <x v="1"/>
  </r>
  <r>
    <n v="38"/>
    <x v="1"/>
    <s v="Travel_Frequently"/>
    <n v="148"/>
    <x v="1"/>
    <n v="2"/>
    <x v="3"/>
    <x v="2"/>
    <n v="1"/>
    <n v="1675"/>
    <n v="4"/>
    <x v="0"/>
    <n v="42"/>
    <n v="2"/>
    <n v="1"/>
    <x v="2"/>
    <n v="2"/>
    <x v="0"/>
    <n v="2440"/>
    <n v="23826"/>
    <n v="1"/>
    <s v="Y"/>
    <s v="No"/>
    <n v="22"/>
    <n v="4"/>
    <n v="2"/>
    <n v="80"/>
    <n v="0"/>
    <n v="4"/>
    <n v="3"/>
    <n v="3"/>
    <n v="4"/>
    <n v="3"/>
    <n v="3"/>
    <n v="3"/>
    <n v="0"/>
    <x v="0"/>
  </r>
  <r>
    <n v="47"/>
    <x v="1"/>
    <s v="Travel_Rarely"/>
    <n v="1225"/>
    <x v="0"/>
    <n v="2"/>
    <x v="2"/>
    <x v="0"/>
    <n v="1"/>
    <n v="1676"/>
    <n v="2"/>
    <x v="0"/>
    <n v="47"/>
    <n v="4"/>
    <n v="4"/>
    <x v="5"/>
    <n v="2"/>
    <x v="2"/>
    <n v="15972"/>
    <n v="21086"/>
    <n v="6"/>
    <s v="Y"/>
    <s v="No"/>
    <n v="14"/>
    <n v="3"/>
    <n v="3"/>
    <n v="80"/>
    <n v="3"/>
    <n v="29"/>
    <n v="2"/>
    <n v="3"/>
    <n v="3"/>
    <n v="2"/>
    <n v="1"/>
    <n v="2"/>
    <n v="0"/>
    <x v="1"/>
  </r>
  <r>
    <n v="49"/>
    <x v="1"/>
    <s v="Travel_Rarely"/>
    <n v="809"/>
    <x v="1"/>
    <n v="1"/>
    <x v="3"/>
    <x v="0"/>
    <n v="1"/>
    <n v="1677"/>
    <n v="3"/>
    <x v="1"/>
    <n v="36"/>
    <n v="3"/>
    <n v="4"/>
    <x v="5"/>
    <n v="3"/>
    <x v="0"/>
    <n v="15379"/>
    <n v="22384"/>
    <n v="4"/>
    <s v="Y"/>
    <s v="No"/>
    <n v="14"/>
    <n v="3"/>
    <n v="1"/>
    <n v="80"/>
    <n v="0"/>
    <n v="23"/>
    <n v="2"/>
    <n v="3"/>
    <n v="8"/>
    <n v="7"/>
    <n v="0"/>
    <n v="0"/>
    <n v="0"/>
    <x v="1"/>
  </r>
  <r>
    <n v="41"/>
    <x v="1"/>
    <s v="Travel_Rarely"/>
    <n v="1206"/>
    <x v="0"/>
    <n v="23"/>
    <x v="0"/>
    <x v="0"/>
    <n v="1"/>
    <n v="1678"/>
    <n v="4"/>
    <x v="1"/>
    <n v="80"/>
    <n v="3"/>
    <n v="3"/>
    <x v="0"/>
    <n v="3"/>
    <x v="0"/>
    <n v="7082"/>
    <n v="11591"/>
    <n v="3"/>
    <s v="Y"/>
    <s v="Yes"/>
    <n v="16"/>
    <n v="3"/>
    <n v="4"/>
    <n v="80"/>
    <n v="0"/>
    <n v="21"/>
    <n v="2"/>
    <n v="3"/>
    <n v="2"/>
    <n v="0"/>
    <n v="0"/>
    <n v="2"/>
    <n v="0"/>
    <x v="0"/>
  </r>
  <r>
    <n v="20"/>
    <x v="1"/>
    <s v="Travel_Rarely"/>
    <n v="727"/>
    <x v="0"/>
    <n v="9"/>
    <x v="1"/>
    <x v="0"/>
    <n v="1"/>
    <n v="1680"/>
    <n v="4"/>
    <x v="1"/>
    <n v="54"/>
    <n v="3"/>
    <n v="1"/>
    <x v="6"/>
    <n v="1"/>
    <x v="0"/>
    <n v="2728"/>
    <n v="21082"/>
    <n v="1"/>
    <s v="Y"/>
    <s v="No"/>
    <n v="11"/>
    <n v="3"/>
    <n v="1"/>
    <n v="80"/>
    <n v="0"/>
    <n v="2"/>
    <n v="3"/>
    <n v="3"/>
    <n v="2"/>
    <n v="2"/>
    <n v="0"/>
    <n v="2"/>
    <n v="0"/>
    <x v="4"/>
  </r>
  <r>
    <n v="33"/>
    <x v="1"/>
    <s v="Non-Travel"/>
    <n v="530"/>
    <x v="0"/>
    <n v="16"/>
    <x v="3"/>
    <x v="0"/>
    <n v="1"/>
    <n v="1681"/>
    <n v="3"/>
    <x v="0"/>
    <n v="36"/>
    <n v="3"/>
    <n v="2"/>
    <x v="0"/>
    <n v="4"/>
    <x v="2"/>
    <n v="5368"/>
    <n v="16130"/>
    <n v="1"/>
    <s v="Y"/>
    <s v="Yes"/>
    <n v="25"/>
    <n v="4"/>
    <n v="3"/>
    <n v="80"/>
    <n v="1"/>
    <n v="7"/>
    <n v="2"/>
    <n v="3"/>
    <n v="6"/>
    <n v="5"/>
    <n v="1"/>
    <n v="2"/>
    <n v="0"/>
    <x v="2"/>
  </r>
  <r>
    <n v="36"/>
    <x v="1"/>
    <s v="Travel_Rarely"/>
    <n v="1351"/>
    <x v="1"/>
    <n v="26"/>
    <x v="2"/>
    <x v="0"/>
    <n v="1"/>
    <n v="1682"/>
    <n v="1"/>
    <x v="1"/>
    <n v="80"/>
    <n v="3"/>
    <n v="2"/>
    <x v="4"/>
    <n v="3"/>
    <x v="1"/>
    <n v="5347"/>
    <n v="7419"/>
    <n v="6"/>
    <s v="Y"/>
    <s v="No"/>
    <n v="14"/>
    <n v="3"/>
    <n v="2"/>
    <n v="80"/>
    <n v="2"/>
    <n v="10"/>
    <n v="2"/>
    <n v="2"/>
    <n v="3"/>
    <n v="2"/>
    <n v="0"/>
    <n v="2"/>
    <n v="0"/>
    <x v="0"/>
  </r>
  <r>
    <n v="44"/>
    <x v="1"/>
    <s v="Travel_Rarely"/>
    <n v="528"/>
    <x v="2"/>
    <n v="1"/>
    <x v="3"/>
    <x v="0"/>
    <n v="1"/>
    <n v="1683"/>
    <n v="3"/>
    <x v="0"/>
    <n v="44"/>
    <n v="3"/>
    <n v="1"/>
    <x v="8"/>
    <n v="4"/>
    <x v="2"/>
    <n v="3195"/>
    <n v="4167"/>
    <n v="4"/>
    <s v="Y"/>
    <s v="Yes"/>
    <n v="18"/>
    <n v="3"/>
    <n v="1"/>
    <n v="80"/>
    <n v="3"/>
    <n v="8"/>
    <n v="2"/>
    <n v="3"/>
    <n v="2"/>
    <n v="2"/>
    <n v="2"/>
    <n v="2"/>
    <n v="0"/>
    <x v="0"/>
  </r>
  <r>
    <n v="23"/>
    <x v="0"/>
    <s v="Travel_Rarely"/>
    <n v="1320"/>
    <x v="1"/>
    <n v="8"/>
    <x v="1"/>
    <x v="2"/>
    <n v="1"/>
    <n v="1684"/>
    <n v="4"/>
    <x v="1"/>
    <n v="93"/>
    <n v="2"/>
    <n v="1"/>
    <x v="2"/>
    <n v="3"/>
    <x v="0"/>
    <n v="3989"/>
    <n v="20586"/>
    <n v="1"/>
    <s v="Y"/>
    <s v="Yes"/>
    <n v="11"/>
    <n v="3"/>
    <n v="1"/>
    <n v="80"/>
    <n v="0"/>
    <n v="5"/>
    <n v="2"/>
    <n v="3"/>
    <n v="5"/>
    <n v="4"/>
    <n v="1"/>
    <n v="2"/>
    <n v="1"/>
    <x v="4"/>
  </r>
  <r>
    <n v="38"/>
    <x v="1"/>
    <s v="Travel_Rarely"/>
    <n v="1495"/>
    <x v="1"/>
    <n v="4"/>
    <x v="0"/>
    <x v="2"/>
    <n v="1"/>
    <n v="1687"/>
    <n v="4"/>
    <x v="0"/>
    <n v="87"/>
    <n v="3"/>
    <n v="1"/>
    <x v="2"/>
    <n v="3"/>
    <x v="1"/>
    <n v="3306"/>
    <n v="26176"/>
    <n v="7"/>
    <s v="Y"/>
    <s v="No"/>
    <n v="19"/>
    <n v="3"/>
    <n v="4"/>
    <n v="80"/>
    <n v="1"/>
    <n v="7"/>
    <n v="5"/>
    <n v="2"/>
    <n v="0"/>
    <n v="0"/>
    <n v="0"/>
    <n v="0"/>
    <n v="0"/>
    <x v="0"/>
  </r>
  <r>
    <n v="53"/>
    <x v="1"/>
    <s v="Travel_Rarely"/>
    <n v="1395"/>
    <x v="1"/>
    <n v="24"/>
    <x v="2"/>
    <x v="2"/>
    <n v="1"/>
    <n v="1689"/>
    <n v="2"/>
    <x v="1"/>
    <n v="48"/>
    <n v="4"/>
    <n v="3"/>
    <x v="4"/>
    <n v="4"/>
    <x v="1"/>
    <n v="7005"/>
    <n v="3458"/>
    <n v="3"/>
    <s v="Y"/>
    <s v="No"/>
    <n v="15"/>
    <n v="3"/>
    <n v="3"/>
    <n v="80"/>
    <n v="0"/>
    <n v="11"/>
    <n v="2"/>
    <n v="3"/>
    <n v="4"/>
    <n v="3"/>
    <n v="1"/>
    <n v="2"/>
    <n v="0"/>
    <x v="1"/>
  </r>
  <r>
    <n v="48"/>
    <x v="0"/>
    <s v="Travel_Frequently"/>
    <n v="708"/>
    <x v="0"/>
    <n v="7"/>
    <x v="0"/>
    <x v="2"/>
    <n v="1"/>
    <n v="1691"/>
    <n v="4"/>
    <x v="0"/>
    <n v="95"/>
    <n v="3"/>
    <n v="1"/>
    <x v="6"/>
    <n v="3"/>
    <x v="1"/>
    <n v="2655"/>
    <n v="11740"/>
    <n v="2"/>
    <s v="Y"/>
    <s v="Yes"/>
    <n v="11"/>
    <n v="3"/>
    <n v="3"/>
    <n v="80"/>
    <n v="2"/>
    <n v="19"/>
    <n v="3"/>
    <n v="3"/>
    <n v="9"/>
    <n v="7"/>
    <n v="7"/>
    <n v="7"/>
    <n v="1"/>
    <x v="1"/>
  </r>
  <r>
    <n v="32"/>
    <x v="0"/>
    <s v="Travel_Rarely"/>
    <n v="1259"/>
    <x v="1"/>
    <n v="2"/>
    <x v="2"/>
    <x v="0"/>
    <n v="1"/>
    <n v="1692"/>
    <n v="4"/>
    <x v="1"/>
    <n v="95"/>
    <n v="3"/>
    <n v="1"/>
    <x v="2"/>
    <n v="2"/>
    <x v="0"/>
    <n v="1393"/>
    <n v="24852"/>
    <n v="1"/>
    <s v="Y"/>
    <s v="No"/>
    <n v="12"/>
    <n v="3"/>
    <n v="1"/>
    <n v="80"/>
    <n v="0"/>
    <n v="1"/>
    <n v="2"/>
    <n v="3"/>
    <n v="1"/>
    <n v="0"/>
    <n v="0"/>
    <n v="0"/>
    <n v="1"/>
    <x v="2"/>
  </r>
  <r>
    <n v="26"/>
    <x v="1"/>
    <s v="Non-Travel"/>
    <n v="786"/>
    <x v="1"/>
    <n v="7"/>
    <x v="3"/>
    <x v="2"/>
    <n v="1"/>
    <n v="1693"/>
    <n v="4"/>
    <x v="1"/>
    <n v="76"/>
    <n v="3"/>
    <n v="1"/>
    <x v="2"/>
    <n v="4"/>
    <x v="0"/>
    <n v="2570"/>
    <n v="11925"/>
    <n v="1"/>
    <s v="Y"/>
    <s v="No"/>
    <n v="20"/>
    <n v="4"/>
    <n v="3"/>
    <n v="80"/>
    <n v="0"/>
    <n v="7"/>
    <n v="5"/>
    <n v="3"/>
    <n v="7"/>
    <n v="7"/>
    <n v="5"/>
    <n v="7"/>
    <n v="0"/>
    <x v="2"/>
  </r>
  <r>
    <n v="55"/>
    <x v="1"/>
    <s v="Travel_Rarely"/>
    <n v="1441"/>
    <x v="1"/>
    <n v="22"/>
    <x v="3"/>
    <x v="4"/>
    <n v="1"/>
    <n v="1694"/>
    <n v="1"/>
    <x v="1"/>
    <n v="94"/>
    <n v="2"/>
    <n v="1"/>
    <x v="1"/>
    <n v="2"/>
    <x v="2"/>
    <n v="3537"/>
    <n v="23737"/>
    <n v="5"/>
    <s v="Y"/>
    <s v="No"/>
    <n v="12"/>
    <n v="3"/>
    <n v="4"/>
    <n v="80"/>
    <n v="1"/>
    <n v="8"/>
    <n v="1"/>
    <n v="3"/>
    <n v="4"/>
    <n v="2"/>
    <n v="1"/>
    <n v="2"/>
    <n v="0"/>
    <x v="3"/>
  </r>
  <r>
    <n v="34"/>
    <x v="1"/>
    <s v="Travel_Rarely"/>
    <n v="1157"/>
    <x v="1"/>
    <n v="5"/>
    <x v="0"/>
    <x v="2"/>
    <n v="1"/>
    <n v="1696"/>
    <n v="2"/>
    <x v="1"/>
    <n v="57"/>
    <n v="2"/>
    <n v="2"/>
    <x v="2"/>
    <n v="4"/>
    <x v="1"/>
    <n v="3986"/>
    <n v="11912"/>
    <n v="1"/>
    <s v="Y"/>
    <s v="No"/>
    <n v="14"/>
    <n v="3"/>
    <n v="3"/>
    <n v="80"/>
    <n v="1"/>
    <n v="15"/>
    <n v="3"/>
    <n v="4"/>
    <n v="15"/>
    <n v="10"/>
    <n v="4"/>
    <n v="13"/>
    <n v="0"/>
    <x v="2"/>
  </r>
  <r>
    <n v="60"/>
    <x v="1"/>
    <s v="Travel_Rarely"/>
    <n v="370"/>
    <x v="1"/>
    <n v="1"/>
    <x v="2"/>
    <x v="2"/>
    <n v="1"/>
    <n v="1697"/>
    <n v="3"/>
    <x v="1"/>
    <n v="92"/>
    <n v="1"/>
    <n v="3"/>
    <x v="4"/>
    <n v="4"/>
    <x v="2"/>
    <n v="10883"/>
    <n v="20467"/>
    <n v="3"/>
    <s v="Y"/>
    <s v="No"/>
    <n v="20"/>
    <n v="4"/>
    <n v="3"/>
    <n v="80"/>
    <n v="1"/>
    <n v="19"/>
    <n v="2"/>
    <n v="4"/>
    <n v="1"/>
    <n v="0"/>
    <n v="0"/>
    <n v="0"/>
    <n v="0"/>
    <x v="3"/>
  </r>
  <r>
    <n v="33"/>
    <x v="1"/>
    <s v="Travel_Rarely"/>
    <n v="267"/>
    <x v="1"/>
    <n v="21"/>
    <x v="3"/>
    <x v="2"/>
    <n v="1"/>
    <n v="1698"/>
    <n v="2"/>
    <x v="1"/>
    <n v="79"/>
    <n v="4"/>
    <n v="1"/>
    <x v="2"/>
    <n v="2"/>
    <x v="1"/>
    <n v="2028"/>
    <n v="13637"/>
    <n v="1"/>
    <s v="Y"/>
    <s v="No"/>
    <n v="18"/>
    <n v="3"/>
    <n v="4"/>
    <n v="80"/>
    <n v="3"/>
    <n v="14"/>
    <n v="6"/>
    <n v="3"/>
    <n v="14"/>
    <n v="11"/>
    <n v="2"/>
    <n v="13"/>
    <n v="0"/>
    <x v="2"/>
  </r>
  <r>
    <n v="37"/>
    <x v="1"/>
    <s v="Travel_Frequently"/>
    <n v="1278"/>
    <x v="0"/>
    <n v="1"/>
    <x v="2"/>
    <x v="2"/>
    <n v="1"/>
    <n v="1700"/>
    <n v="3"/>
    <x v="1"/>
    <n v="31"/>
    <n v="1"/>
    <n v="2"/>
    <x v="0"/>
    <n v="4"/>
    <x v="2"/>
    <n v="9525"/>
    <n v="7677"/>
    <n v="1"/>
    <s v="Y"/>
    <s v="No"/>
    <n v="14"/>
    <n v="3"/>
    <n v="3"/>
    <n v="80"/>
    <n v="2"/>
    <n v="6"/>
    <n v="2"/>
    <n v="2"/>
    <n v="6"/>
    <n v="3"/>
    <n v="1"/>
    <n v="3"/>
    <n v="0"/>
    <x v="0"/>
  </r>
  <r>
    <n v="34"/>
    <x v="1"/>
    <s v="Travel_Rarely"/>
    <n v="678"/>
    <x v="1"/>
    <n v="19"/>
    <x v="3"/>
    <x v="0"/>
    <n v="1"/>
    <n v="1701"/>
    <n v="2"/>
    <x v="0"/>
    <n v="35"/>
    <n v="2"/>
    <n v="1"/>
    <x v="1"/>
    <n v="4"/>
    <x v="1"/>
    <n v="2929"/>
    <n v="20338"/>
    <n v="1"/>
    <s v="Y"/>
    <s v="No"/>
    <n v="12"/>
    <n v="3"/>
    <n v="2"/>
    <n v="80"/>
    <n v="0"/>
    <n v="10"/>
    <n v="3"/>
    <n v="3"/>
    <n v="10"/>
    <n v="9"/>
    <n v="8"/>
    <n v="7"/>
    <n v="0"/>
    <x v="2"/>
  </r>
  <r>
    <n v="23"/>
    <x v="0"/>
    <s v="Travel_Rarely"/>
    <n v="427"/>
    <x v="0"/>
    <n v="7"/>
    <x v="3"/>
    <x v="0"/>
    <n v="1"/>
    <n v="1702"/>
    <n v="3"/>
    <x v="1"/>
    <n v="99"/>
    <n v="3"/>
    <n v="1"/>
    <x v="6"/>
    <n v="4"/>
    <x v="2"/>
    <n v="2275"/>
    <n v="25103"/>
    <n v="1"/>
    <s v="Y"/>
    <s v="Yes"/>
    <n v="21"/>
    <n v="4"/>
    <n v="2"/>
    <n v="80"/>
    <n v="1"/>
    <n v="3"/>
    <n v="2"/>
    <n v="3"/>
    <n v="3"/>
    <n v="2"/>
    <n v="0"/>
    <n v="2"/>
    <n v="1"/>
    <x v="4"/>
  </r>
  <r>
    <n v="44"/>
    <x v="1"/>
    <s v="Travel_Rarely"/>
    <n v="921"/>
    <x v="1"/>
    <n v="2"/>
    <x v="3"/>
    <x v="0"/>
    <n v="1"/>
    <n v="1703"/>
    <n v="3"/>
    <x v="0"/>
    <n v="96"/>
    <n v="4"/>
    <n v="3"/>
    <x v="4"/>
    <n v="4"/>
    <x v="1"/>
    <n v="7879"/>
    <n v="14810"/>
    <n v="1"/>
    <s v="Y"/>
    <s v="Yes"/>
    <n v="19"/>
    <n v="3"/>
    <n v="2"/>
    <n v="80"/>
    <n v="1"/>
    <n v="9"/>
    <n v="2"/>
    <n v="3"/>
    <n v="8"/>
    <n v="7"/>
    <n v="6"/>
    <n v="7"/>
    <n v="0"/>
    <x v="0"/>
  </r>
  <r>
    <n v="35"/>
    <x v="1"/>
    <s v="Travel_Frequently"/>
    <n v="146"/>
    <x v="1"/>
    <n v="2"/>
    <x v="2"/>
    <x v="2"/>
    <n v="1"/>
    <n v="1704"/>
    <n v="1"/>
    <x v="1"/>
    <n v="79"/>
    <n v="2"/>
    <n v="1"/>
    <x v="1"/>
    <n v="4"/>
    <x v="0"/>
    <n v="4930"/>
    <n v="13970"/>
    <n v="0"/>
    <s v="Y"/>
    <s v="Yes"/>
    <n v="14"/>
    <n v="3"/>
    <n v="3"/>
    <n v="80"/>
    <n v="0"/>
    <n v="6"/>
    <n v="2"/>
    <n v="4"/>
    <n v="5"/>
    <n v="4"/>
    <n v="1"/>
    <n v="4"/>
    <n v="0"/>
    <x v="0"/>
  </r>
  <r>
    <n v="43"/>
    <x v="1"/>
    <s v="Travel_Rarely"/>
    <n v="1179"/>
    <x v="0"/>
    <n v="2"/>
    <x v="3"/>
    <x v="2"/>
    <n v="1"/>
    <n v="1706"/>
    <n v="4"/>
    <x v="1"/>
    <n v="73"/>
    <n v="3"/>
    <n v="2"/>
    <x v="0"/>
    <n v="4"/>
    <x v="1"/>
    <n v="7847"/>
    <n v="6069"/>
    <n v="1"/>
    <s v="Y"/>
    <s v="Yes"/>
    <n v="17"/>
    <n v="3"/>
    <n v="1"/>
    <n v="80"/>
    <n v="1"/>
    <n v="10"/>
    <n v="3"/>
    <n v="3"/>
    <n v="10"/>
    <n v="9"/>
    <n v="8"/>
    <n v="8"/>
    <n v="0"/>
    <x v="0"/>
  </r>
  <r>
    <n v="24"/>
    <x v="1"/>
    <s v="Travel_Rarely"/>
    <n v="581"/>
    <x v="1"/>
    <n v="9"/>
    <x v="3"/>
    <x v="2"/>
    <n v="1"/>
    <n v="1707"/>
    <n v="3"/>
    <x v="1"/>
    <n v="62"/>
    <n v="4"/>
    <n v="1"/>
    <x v="1"/>
    <n v="3"/>
    <x v="1"/>
    <n v="4401"/>
    <n v="17616"/>
    <n v="1"/>
    <s v="Y"/>
    <s v="No"/>
    <n v="16"/>
    <n v="3"/>
    <n v="4"/>
    <n v="80"/>
    <n v="1"/>
    <n v="5"/>
    <n v="1"/>
    <n v="3"/>
    <n v="5"/>
    <n v="3"/>
    <n v="0"/>
    <n v="4"/>
    <n v="0"/>
    <x v="4"/>
  </r>
  <r>
    <n v="41"/>
    <x v="1"/>
    <s v="Travel_Rarely"/>
    <n v="918"/>
    <x v="0"/>
    <n v="6"/>
    <x v="3"/>
    <x v="3"/>
    <n v="1"/>
    <n v="1708"/>
    <n v="4"/>
    <x v="1"/>
    <n v="35"/>
    <n v="3"/>
    <n v="3"/>
    <x v="0"/>
    <n v="3"/>
    <x v="0"/>
    <n v="9241"/>
    <n v="15869"/>
    <n v="1"/>
    <s v="Y"/>
    <s v="No"/>
    <n v="12"/>
    <n v="3"/>
    <n v="2"/>
    <n v="80"/>
    <n v="0"/>
    <n v="10"/>
    <n v="3"/>
    <n v="3"/>
    <n v="10"/>
    <n v="8"/>
    <n v="8"/>
    <n v="7"/>
    <n v="0"/>
    <x v="0"/>
  </r>
  <r>
    <n v="29"/>
    <x v="1"/>
    <s v="Travel_Rarely"/>
    <n v="1082"/>
    <x v="1"/>
    <n v="9"/>
    <x v="2"/>
    <x v="2"/>
    <n v="1"/>
    <n v="1709"/>
    <n v="4"/>
    <x v="0"/>
    <n v="43"/>
    <n v="3"/>
    <n v="1"/>
    <x v="2"/>
    <n v="3"/>
    <x v="1"/>
    <n v="2974"/>
    <n v="25412"/>
    <n v="9"/>
    <s v="Y"/>
    <s v="No"/>
    <n v="17"/>
    <n v="3"/>
    <n v="3"/>
    <n v="80"/>
    <n v="1"/>
    <n v="9"/>
    <n v="2"/>
    <n v="3"/>
    <n v="5"/>
    <n v="3"/>
    <n v="1"/>
    <n v="2"/>
    <n v="0"/>
    <x v="2"/>
  </r>
  <r>
    <n v="36"/>
    <x v="1"/>
    <s v="Travel_Rarely"/>
    <n v="530"/>
    <x v="0"/>
    <n v="2"/>
    <x v="2"/>
    <x v="0"/>
    <n v="1"/>
    <n v="1710"/>
    <n v="3"/>
    <x v="0"/>
    <n v="51"/>
    <n v="3"/>
    <n v="2"/>
    <x v="6"/>
    <n v="4"/>
    <x v="0"/>
    <n v="4502"/>
    <n v="7439"/>
    <n v="3"/>
    <s v="Y"/>
    <s v="No"/>
    <n v="15"/>
    <n v="3"/>
    <n v="3"/>
    <n v="80"/>
    <n v="0"/>
    <n v="17"/>
    <n v="2"/>
    <n v="2"/>
    <n v="13"/>
    <n v="7"/>
    <n v="6"/>
    <n v="7"/>
    <n v="0"/>
    <x v="0"/>
  </r>
  <r>
    <n v="45"/>
    <x v="1"/>
    <s v="Non-Travel"/>
    <n v="1238"/>
    <x v="1"/>
    <n v="1"/>
    <x v="1"/>
    <x v="0"/>
    <n v="1"/>
    <n v="1712"/>
    <n v="3"/>
    <x v="1"/>
    <n v="74"/>
    <n v="2"/>
    <n v="3"/>
    <x v="4"/>
    <n v="3"/>
    <x v="1"/>
    <n v="10748"/>
    <n v="3395"/>
    <n v="3"/>
    <s v="Y"/>
    <s v="No"/>
    <n v="23"/>
    <n v="4"/>
    <n v="4"/>
    <n v="80"/>
    <n v="1"/>
    <n v="25"/>
    <n v="3"/>
    <n v="2"/>
    <n v="23"/>
    <n v="15"/>
    <n v="14"/>
    <n v="4"/>
    <n v="0"/>
    <x v="1"/>
  </r>
  <r>
    <n v="24"/>
    <x v="0"/>
    <s v="Travel_Rarely"/>
    <n v="240"/>
    <x v="2"/>
    <n v="22"/>
    <x v="1"/>
    <x v="5"/>
    <n v="1"/>
    <n v="1714"/>
    <n v="4"/>
    <x v="1"/>
    <n v="58"/>
    <n v="1"/>
    <n v="1"/>
    <x v="8"/>
    <n v="3"/>
    <x v="1"/>
    <n v="1555"/>
    <n v="11585"/>
    <n v="1"/>
    <s v="Y"/>
    <s v="No"/>
    <n v="11"/>
    <n v="3"/>
    <n v="3"/>
    <n v="80"/>
    <n v="1"/>
    <n v="1"/>
    <n v="2"/>
    <n v="3"/>
    <n v="1"/>
    <n v="0"/>
    <n v="0"/>
    <n v="0"/>
    <n v="1"/>
    <x v="4"/>
  </r>
  <r>
    <n v="47"/>
    <x v="0"/>
    <s v="Travel_Frequently"/>
    <n v="1093"/>
    <x v="0"/>
    <n v="9"/>
    <x v="3"/>
    <x v="0"/>
    <n v="1"/>
    <n v="1716"/>
    <n v="3"/>
    <x v="1"/>
    <n v="82"/>
    <n v="1"/>
    <n v="4"/>
    <x v="0"/>
    <n v="3"/>
    <x v="1"/>
    <n v="12936"/>
    <n v="24164"/>
    <n v="7"/>
    <s v="Y"/>
    <s v="No"/>
    <n v="11"/>
    <n v="3"/>
    <n v="3"/>
    <n v="80"/>
    <n v="0"/>
    <n v="25"/>
    <n v="3"/>
    <n v="1"/>
    <n v="23"/>
    <n v="5"/>
    <n v="14"/>
    <n v="10"/>
    <n v="1"/>
    <x v="1"/>
  </r>
  <r>
    <n v="26"/>
    <x v="1"/>
    <s v="Travel_Rarely"/>
    <n v="390"/>
    <x v="1"/>
    <n v="17"/>
    <x v="2"/>
    <x v="2"/>
    <n v="1"/>
    <n v="1718"/>
    <n v="4"/>
    <x v="1"/>
    <n v="62"/>
    <n v="1"/>
    <n v="1"/>
    <x v="2"/>
    <n v="3"/>
    <x v="1"/>
    <n v="2305"/>
    <n v="6217"/>
    <n v="1"/>
    <s v="Y"/>
    <s v="No"/>
    <n v="15"/>
    <n v="3"/>
    <n v="3"/>
    <n v="80"/>
    <n v="3"/>
    <n v="3"/>
    <n v="3"/>
    <n v="4"/>
    <n v="3"/>
    <n v="2"/>
    <n v="0"/>
    <n v="2"/>
    <n v="0"/>
    <x v="2"/>
  </r>
  <r>
    <n v="45"/>
    <x v="1"/>
    <s v="Travel_Rarely"/>
    <n v="1005"/>
    <x v="1"/>
    <n v="28"/>
    <x v="0"/>
    <x v="4"/>
    <n v="1"/>
    <n v="1719"/>
    <n v="4"/>
    <x v="0"/>
    <n v="48"/>
    <n v="2"/>
    <n v="4"/>
    <x v="7"/>
    <n v="2"/>
    <x v="0"/>
    <n v="16704"/>
    <n v="17119"/>
    <n v="1"/>
    <s v="Y"/>
    <s v="No"/>
    <n v="11"/>
    <n v="3"/>
    <n v="3"/>
    <n v="80"/>
    <n v="0"/>
    <n v="21"/>
    <n v="2"/>
    <n v="3"/>
    <n v="21"/>
    <n v="6"/>
    <n v="8"/>
    <n v="6"/>
    <n v="0"/>
    <x v="1"/>
  </r>
  <r>
    <n v="32"/>
    <x v="1"/>
    <s v="Travel_Frequently"/>
    <n v="585"/>
    <x v="1"/>
    <n v="10"/>
    <x v="3"/>
    <x v="0"/>
    <n v="1"/>
    <n v="1720"/>
    <n v="1"/>
    <x v="1"/>
    <n v="56"/>
    <n v="3"/>
    <n v="1"/>
    <x v="1"/>
    <n v="3"/>
    <x v="1"/>
    <n v="3433"/>
    <n v="17360"/>
    <n v="6"/>
    <s v="Y"/>
    <s v="No"/>
    <n v="13"/>
    <n v="3"/>
    <n v="1"/>
    <n v="80"/>
    <n v="1"/>
    <n v="10"/>
    <n v="3"/>
    <n v="2"/>
    <n v="5"/>
    <n v="2"/>
    <n v="1"/>
    <n v="3"/>
    <n v="0"/>
    <x v="2"/>
  </r>
  <r>
    <n v="31"/>
    <x v="1"/>
    <s v="Travel_Rarely"/>
    <n v="741"/>
    <x v="1"/>
    <n v="2"/>
    <x v="2"/>
    <x v="0"/>
    <n v="1"/>
    <n v="1721"/>
    <n v="2"/>
    <x v="1"/>
    <n v="69"/>
    <n v="3"/>
    <n v="1"/>
    <x v="2"/>
    <n v="3"/>
    <x v="1"/>
    <n v="3477"/>
    <n v="18103"/>
    <n v="1"/>
    <s v="Y"/>
    <s v="No"/>
    <n v="14"/>
    <n v="3"/>
    <n v="4"/>
    <n v="80"/>
    <n v="1"/>
    <n v="6"/>
    <n v="2"/>
    <n v="4"/>
    <n v="5"/>
    <n v="2"/>
    <n v="0"/>
    <n v="3"/>
    <n v="0"/>
    <x v="2"/>
  </r>
  <r>
    <n v="41"/>
    <x v="1"/>
    <s v="Non-Travel"/>
    <n v="552"/>
    <x v="2"/>
    <n v="4"/>
    <x v="3"/>
    <x v="5"/>
    <n v="1"/>
    <n v="1722"/>
    <n v="3"/>
    <x v="1"/>
    <n v="60"/>
    <n v="1"/>
    <n v="2"/>
    <x v="8"/>
    <n v="2"/>
    <x v="1"/>
    <n v="6430"/>
    <n v="20794"/>
    <n v="6"/>
    <s v="Y"/>
    <s v="No"/>
    <n v="19"/>
    <n v="3"/>
    <n v="2"/>
    <n v="80"/>
    <n v="1"/>
    <n v="10"/>
    <n v="4"/>
    <n v="3"/>
    <n v="3"/>
    <n v="2"/>
    <n v="1"/>
    <n v="2"/>
    <n v="0"/>
    <x v="0"/>
  </r>
  <r>
    <n v="40"/>
    <x v="1"/>
    <s v="Travel_Rarely"/>
    <n v="369"/>
    <x v="1"/>
    <n v="8"/>
    <x v="0"/>
    <x v="0"/>
    <n v="1"/>
    <n v="1724"/>
    <n v="2"/>
    <x v="0"/>
    <n v="92"/>
    <n v="3"/>
    <n v="2"/>
    <x v="3"/>
    <n v="1"/>
    <x v="1"/>
    <n v="6516"/>
    <n v="5041"/>
    <n v="2"/>
    <s v="Y"/>
    <s v="Yes"/>
    <n v="16"/>
    <n v="3"/>
    <n v="2"/>
    <n v="80"/>
    <n v="1"/>
    <n v="18"/>
    <n v="3"/>
    <n v="3"/>
    <n v="1"/>
    <n v="0"/>
    <n v="0"/>
    <n v="0"/>
    <n v="0"/>
    <x v="0"/>
  </r>
  <r>
    <n v="24"/>
    <x v="1"/>
    <s v="Travel_Rarely"/>
    <n v="506"/>
    <x v="1"/>
    <n v="29"/>
    <x v="1"/>
    <x v="2"/>
    <n v="1"/>
    <n v="1725"/>
    <n v="2"/>
    <x v="1"/>
    <n v="91"/>
    <n v="3"/>
    <n v="1"/>
    <x v="2"/>
    <n v="1"/>
    <x v="2"/>
    <n v="3907"/>
    <n v="3622"/>
    <n v="1"/>
    <s v="Y"/>
    <s v="No"/>
    <n v="13"/>
    <n v="3"/>
    <n v="2"/>
    <n v="80"/>
    <n v="3"/>
    <n v="6"/>
    <n v="2"/>
    <n v="4"/>
    <n v="6"/>
    <n v="2"/>
    <n v="1"/>
    <n v="2"/>
    <n v="0"/>
    <x v="4"/>
  </r>
  <r>
    <n v="46"/>
    <x v="1"/>
    <s v="Travel_Rarely"/>
    <n v="717"/>
    <x v="1"/>
    <n v="13"/>
    <x v="2"/>
    <x v="0"/>
    <n v="1"/>
    <n v="1727"/>
    <n v="3"/>
    <x v="1"/>
    <n v="34"/>
    <n v="3"/>
    <n v="2"/>
    <x v="4"/>
    <n v="2"/>
    <x v="0"/>
    <n v="5562"/>
    <n v="9697"/>
    <n v="6"/>
    <s v="Y"/>
    <s v="No"/>
    <n v="14"/>
    <n v="3"/>
    <n v="4"/>
    <n v="80"/>
    <n v="0"/>
    <n v="19"/>
    <n v="3"/>
    <n v="3"/>
    <n v="10"/>
    <n v="7"/>
    <n v="0"/>
    <n v="9"/>
    <n v="0"/>
    <x v="1"/>
  </r>
  <r>
    <n v="35"/>
    <x v="1"/>
    <s v="Travel_Rarely"/>
    <n v="1370"/>
    <x v="1"/>
    <n v="27"/>
    <x v="2"/>
    <x v="0"/>
    <n v="1"/>
    <n v="1728"/>
    <n v="4"/>
    <x v="1"/>
    <n v="49"/>
    <n v="3"/>
    <n v="2"/>
    <x v="3"/>
    <n v="3"/>
    <x v="1"/>
    <n v="6883"/>
    <n v="5151"/>
    <n v="2"/>
    <s v="Y"/>
    <s v="No"/>
    <n v="16"/>
    <n v="3"/>
    <n v="2"/>
    <n v="80"/>
    <n v="1"/>
    <n v="17"/>
    <n v="3"/>
    <n v="3"/>
    <n v="7"/>
    <n v="7"/>
    <n v="0"/>
    <n v="7"/>
    <n v="0"/>
    <x v="0"/>
  </r>
  <r>
    <n v="30"/>
    <x v="1"/>
    <s v="Travel_Rarely"/>
    <n v="793"/>
    <x v="1"/>
    <n v="16"/>
    <x v="1"/>
    <x v="0"/>
    <n v="1"/>
    <n v="1729"/>
    <n v="2"/>
    <x v="1"/>
    <n v="33"/>
    <n v="3"/>
    <n v="1"/>
    <x v="1"/>
    <n v="4"/>
    <x v="1"/>
    <n v="2862"/>
    <n v="3811"/>
    <n v="1"/>
    <s v="Y"/>
    <s v="No"/>
    <n v="12"/>
    <n v="3"/>
    <n v="2"/>
    <n v="80"/>
    <n v="1"/>
    <n v="10"/>
    <n v="2"/>
    <n v="2"/>
    <n v="10"/>
    <n v="0"/>
    <n v="0"/>
    <n v="8"/>
    <n v="0"/>
    <x v="2"/>
  </r>
  <r>
    <n v="47"/>
    <x v="1"/>
    <s v="Non-Travel"/>
    <n v="543"/>
    <x v="0"/>
    <n v="2"/>
    <x v="2"/>
    <x v="3"/>
    <n v="1"/>
    <n v="1731"/>
    <n v="3"/>
    <x v="1"/>
    <n v="87"/>
    <n v="3"/>
    <n v="2"/>
    <x v="0"/>
    <n v="2"/>
    <x v="1"/>
    <n v="4978"/>
    <n v="3536"/>
    <n v="7"/>
    <s v="Y"/>
    <s v="No"/>
    <n v="11"/>
    <n v="3"/>
    <n v="4"/>
    <n v="80"/>
    <n v="1"/>
    <n v="4"/>
    <n v="3"/>
    <n v="1"/>
    <n v="1"/>
    <n v="0"/>
    <n v="0"/>
    <n v="0"/>
    <n v="0"/>
    <x v="1"/>
  </r>
  <r>
    <n v="46"/>
    <x v="1"/>
    <s v="Travel_Rarely"/>
    <n v="1277"/>
    <x v="0"/>
    <n v="2"/>
    <x v="3"/>
    <x v="0"/>
    <n v="1"/>
    <n v="1732"/>
    <n v="3"/>
    <x v="1"/>
    <n v="74"/>
    <n v="3"/>
    <n v="3"/>
    <x v="0"/>
    <n v="4"/>
    <x v="2"/>
    <n v="10368"/>
    <n v="5596"/>
    <n v="4"/>
    <s v="Y"/>
    <s v="Yes"/>
    <n v="12"/>
    <n v="3"/>
    <n v="2"/>
    <n v="80"/>
    <n v="1"/>
    <n v="13"/>
    <n v="5"/>
    <n v="2"/>
    <n v="10"/>
    <n v="6"/>
    <n v="0"/>
    <n v="3"/>
    <n v="0"/>
    <x v="1"/>
  </r>
  <r>
    <n v="36"/>
    <x v="0"/>
    <s v="Travel_Rarely"/>
    <n v="1456"/>
    <x v="0"/>
    <n v="13"/>
    <x v="4"/>
    <x v="3"/>
    <n v="1"/>
    <n v="1733"/>
    <n v="2"/>
    <x v="1"/>
    <n v="96"/>
    <n v="2"/>
    <n v="2"/>
    <x v="0"/>
    <n v="1"/>
    <x v="2"/>
    <n v="6134"/>
    <n v="8658"/>
    <n v="5"/>
    <s v="Y"/>
    <s v="Yes"/>
    <n v="13"/>
    <n v="3"/>
    <n v="2"/>
    <n v="80"/>
    <n v="3"/>
    <n v="16"/>
    <n v="3"/>
    <n v="3"/>
    <n v="2"/>
    <n v="2"/>
    <n v="2"/>
    <n v="2"/>
    <n v="1"/>
    <x v="0"/>
  </r>
  <r>
    <n v="32"/>
    <x v="0"/>
    <s v="Travel_Rarely"/>
    <n v="964"/>
    <x v="0"/>
    <n v="1"/>
    <x v="0"/>
    <x v="0"/>
    <n v="1"/>
    <n v="1734"/>
    <n v="1"/>
    <x v="1"/>
    <n v="34"/>
    <n v="1"/>
    <n v="2"/>
    <x v="0"/>
    <n v="2"/>
    <x v="0"/>
    <n v="6735"/>
    <n v="12147"/>
    <n v="6"/>
    <s v="Y"/>
    <s v="No"/>
    <n v="15"/>
    <n v="3"/>
    <n v="2"/>
    <n v="80"/>
    <n v="0"/>
    <n v="10"/>
    <n v="2"/>
    <n v="3"/>
    <n v="0"/>
    <n v="0"/>
    <n v="0"/>
    <n v="0"/>
    <n v="1"/>
    <x v="2"/>
  </r>
  <r>
    <n v="23"/>
    <x v="1"/>
    <s v="Travel_Rarely"/>
    <n v="160"/>
    <x v="1"/>
    <n v="4"/>
    <x v="1"/>
    <x v="2"/>
    <n v="1"/>
    <n v="1735"/>
    <n v="3"/>
    <x v="0"/>
    <n v="51"/>
    <n v="3"/>
    <n v="1"/>
    <x v="2"/>
    <n v="2"/>
    <x v="0"/>
    <n v="3295"/>
    <n v="12862"/>
    <n v="1"/>
    <s v="Y"/>
    <s v="No"/>
    <n v="13"/>
    <n v="3"/>
    <n v="3"/>
    <n v="80"/>
    <n v="0"/>
    <n v="3"/>
    <n v="3"/>
    <n v="1"/>
    <n v="3"/>
    <n v="2"/>
    <n v="1"/>
    <n v="2"/>
    <n v="0"/>
    <x v="4"/>
  </r>
  <r>
    <n v="31"/>
    <x v="1"/>
    <s v="Travel_Frequently"/>
    <n v="163"/>
    <x v="1"/>
    <n v="24"/>
    <x v="1"/>
    <x v="4"/>
    <n v="1"/>
    <n v="1736"/>
    <n v="4"/>
    <x v="0"/>
    <n v="30"/>
    <n v="3"/>
    <n v="2"/>
    <x v="3"/>
    <n v="4"/>
    <x v="0"/>
    <n v="5238"/>
    <n v="6670"/>
    <n v="2"/>
    <s v="Y"/>
    <s v="No"/>
    <n v="20"/>
    <n v="4"/>
    <n v="4"/>
    <n v="80"/>
    <n v="0"/>
    <n v="9"/>
    <n v="3"/>
    <n v="2"/>
    <n v="5"/>
    <n v="4"/>
    <n v="1"/>
    <n v="4"/>
    <n v="0"/>
    <x v="2"/>
  </r>
  <r>
    <n v="39"/>
    <x v="1"/>
    <s v="Non-Travel"/>
    <n v="792"/>
    <x v="1"/>
    <n v="1"/>
    <x v="3"/>
    <x v="0"/>
    <n v="1"/>
    <n v="1737"/>
    <n v="4"/>
    <x v="1"/>
    <n v="77"/>
    <n v="3"/>
    <n v="2"/>
    <x v="2"/>
    <n v="4"/>
    <x v="1"/>
    <n v="6472"/>
    <n v="8989"/>
    <n v="1"/>
    <s v="Y"/>
    <s v="Yes"/>
    <n v="15"/>
    <n v="3"/>
    <n v="4"/>
    <n v="80"/>
    <n v="1"/>
    <n v="9"/>
    <n v="2"/>
    <n v="3"/>
    <n v="9"/>
    <n v="8"/>
    <n v="5"/>
    <n v="8"/>
    <n v="0"/>
    <x v="0"/>
  </r>
  <r>
    <n v="32"/>
    <x v="1"/>
    <s v="Travel_Rarely"/>
    <n v="371"/>
    <x v="0"/>
    <n v="19"/>
    <x v="3"/>
    <x v="0"/>
    <n v="1"/>
    <n v="1739"/>
    <n v="4"/>
    <x v="1"/>
    <n v="80"/>
    <n v="1"/>
    <n v="3"/>
    <x v="0"/>
    <n v="3"/>
    <x v="1"/>
    <n v="9610"/>
    <n v="3840"/>
    <n v="3"/>
    <s v="Y"/>
    <s v="No"/>
    <n v="13"/>
    <n v="3"/>
    <n v="3"/>
    <n v="80"/>
    <n v="1"/>
    <n v="10"/>
    <n v="2"/>
    <n v="1"/>
    <n v="4"/>
    <n v="3"/>
    <n v="0"/>
    <n v="2"/>
    <n v="0"/>
    <x v="2"/>
  </r>
  <r>
    <n v="40"/>
    <x v="1"/>
    <s v="Travel_Rarely"/>
    <n v="611"/>
    <x v="0"/>
    <n v="7"/>
    <x v="2"/>
    <x v="2"/>
    <n v="1"/>
    <n v="1740"/>
    <n v="2"/>
    <x v="1"/>
    <n v="88"/>
    <n v="3"/>
    <n v="5"/>
    <x v="5"/>
    <n v="2"/>
    <x v="0"/>
    <n v="19833"/>
    <n v="4349"/>
    <n v="1"/>
    <s v="Y"/>
    <s v="No"/>
    <n v="14"/>
    <n v="3"/>
    <n v="2"/>
    <n v="80"/>
    <n v="0"/>
    <n v="21"/>
    <n v="3"/>
    <n v="2"/>
    <n v="21"/>
    <n v="8"/>
    <n v="12"/>
    <n v="8"/>
    <n v="0"/>
    <x v="0"/>
  </r>
  <r>
    <n v="45"/>
    <x v="1"/>
    <s v="Travel_Rarely"/>
    <n v="176"/>
    <x v="2"/>
    <n v="4"/>
    <x v="3"/>
    <x v="0"/>
    <n v="1"/>
    <n v="1744"/>
    <n v="3"/>
    <x v="0"/>
    <n v="56"/>
    <n v="1"/>
    <n v="3"/>
    <x v="8"/>
    <n v="3"/>
    <x v="1"/>
    <n v="9756"/>
    <n v="6595"/>
    <n v="4"/>
    <s v="Y"/>
    <s v="No"/>
    <n v="21"/>
    <n v="4"/>
    <n v="3"/>
    <n v="80"/>
    <n v="2"/>
    <n v="9"/>
    <n v="2"/>
    <n v="4"/>
    <n v="5"/>
    <n v="0"/>
    <n v="0"/>
    <n v="3"/>
    <n v="0"/>
    <x v="1"/>
  </r>
  <r>
    <n v="30"/>
    <x v="1"/>
    <s v="Travel_Frequently"/>
    <n v="1312"/>
    <x v="1"/>
    <n v="2"/>
    <x v="2"/>
    <x v="4"/>
    <n v="1"/>
    <n v="1745"/>
    <n v="4"/>
    <x v="0"/>
    <n v="78"/>
    <n v="2"/>
    <n v="1"/>
    <x v="1"/>
    <n v="1"/>
    <x v="0"/>
    <n v="4968"/>
    <n v="26427"/>
    <n v="0"/>
    <s v="Y"/>
    <s v="No"/>
    <n v="16"/>
    <n v="3"/>
    <n v="4"/>
    <n v="80"/>
    <n v="0"/>
    <n v="10"/>
    <n v="2"/>
    <n v="3"/>
    <n v="9"/>
    <n v="7"/>
    <n v="0"/>
    <n v="7"/>
    <n v="0"/>
    <x v="2"/>
  </r>
  <r>
    <n v="24"/>
    <x v="1"/>
    <s v="Travel_Frequently"/>
    <n v="897"/>
    <x v="2"/>
    <n v="10"/>
    <x v="3"/>
    <x v="2"/>
    <n v="1"/>
    <n v="1746"/>
    <n v="1"/>
    <x v="1"/>
    <n v="59"/>
    <n v="3"/>
    <n v="1"/>
    <x v="8"/>
    <n v="4"/>
    <x v="1"/>
    <n v="2145"/>
    <n v="2097"/>
    <n v="0"/>
    <s v="Y"/>
    <s v="No"/>
    <n v="14"/>
    <n v="3"/>
    <n v="4"/>
    <n v="80"/>
    <n v="1"/>
    <n v="3"/>
    <n v="2"/>
    <n v="3"/>
    <n v="2"/>
    <n v="2"/>
    <n v="2"/>
    <n v="1"/>
    <n v="0"/>
    <x v="4"/>
  </r>
  <r>
    <n v="30"/>
    <x v="0"/>
    <s v="Travel_Frequently"/>
    <n v="600"/>
    <x v="2"/>
    <n v="8"/>
    <x v="3"/>
    <x v="5"/>
    <n v="1"/>
    <n v="1747"/>
    <n v="3"/>
    <x v="0"/>
    <n v="66"/>
    <n v="2"/>
    <n v="1"/>
    <x v="8"/>
    <n v="4"/>
    <x v="2"/>
    <n v="2180"/>
    <n v="9732"/>
    <n v="6"/>
    <s v="Y"/>
    <s v="No"/>
    <n v="11"/>
    <n v="3"/>
    <n v="3"/>
    <n v="80"/>
    <n v="1"/>
    <n v="6"/>
    <n v="0"/>
    <n v="2"/>
    <n v="4"/>
    <n v="2"/>
    <n v="1"/>
    <n v="2"/>
    <n v="1"/>
    <x v="2"/>
  </r>
  <r>
    <n v="31"/>
    <x v="1"/>
    <s v="Travel_Rarely"/>
    <n v="1003"/>
    <x v="0"/>
    <n v="5"/>
    <x v="3"/>
    <x v="4"/>
    <n v="1"/>
    <n v="1749"/>
    <n v="1"/>
    <x v="1"/>
    <n v="51"/>
    <n v="3"/>
    <n v="2"/>
    <x v="0"/>
    <n v="3"/>
    <x v="1"/>
    <n v="8346"/>
    <n v="20943"/>
    <n v="1"/>
    <s v="Y"/>
    <s v="No"/>
    <n v="19"/>
    <n v="3"/>
    <n v="3"/>
    <n v="80"/>
    <n v="1"/>
    <n v="6"/>
    <n v="3"/>
    <n v="3"/>
    <n v="5"/>
    <n v="2"/>
    <n v="0"/>
    <n v="2"/>
    <n v="0"/>
    <x v="2"/>
  </r>
  <r>
    <n v="27"/>
    <x v="1"/>
    <s v="Travel_Rarely"/>
    <n v="1054"/>
    <x v="1"/>
    <n v="8"/>
    <x v="3"/>
    <x v="2"/>
    <n v="1"/>
    <n v="1751"/>
    <n v="3"/>
    <x v="0"/>
    <n v="67"/>
    <n v="3"/>
    <n v="1"/>
    <x v="1"/>
    <n v="4"/>
    <x v="0"/>
    <n v="3445"/>
    <n v="6152"/>
    <n v="1"/>
    <s v="Y"/>
    <s v="No"/>
    <n v="11"/>
    <n v="3"/>
    <n v="3"/>
    <n v="80"/>
    <n v="0"/>
    <n v="6"/>
    <n v="5"/>
    <n v="2"/>
    <n v="6"/>
    <n v="2"/>
    <n v="1"/>
    <n v="4"/>
    <n v="0"/>
    <x v="2"/>
  </r>
  <r>
    <n v="29"/>
    <x v="0"/>
    <s v="Travel_Rarely"/>
    <n v="428"/>
    <x v="0"/>
    <n v="9"/>
    <x v="3"/>
    <x v="3"/>
    <n v="1"/>
    <n v="1752"/>
    <n v="2"/>
    <x v="0"/>
    <n v="52"/>
    <n v="1"/>
    <n v="1"/>
    <x v="6"/>
    <n v="2"/>
    <x v="0"/>
    <n v="2760"/>
    <n v="14630"/>
    <n v="1"/>
    <s v="Y"/>
    <s v="No"/>
    <n v="13"/>
    <n v="3"/>
    <n v="3"/>
    <n v="80"/>
    <n v="0"/>
    <n v="2"/>
    <n v="3"/>
    <n v="3"/>
    <n v="2"/>
    <n v="2"/>
    <n v="2"/>
    <n v="2"/>
    <n v="1"/>
    <x v="2"/>
  </r>
  <r>
    <n v="29"/>
    <x v="1"/>
    <s v="Travel_Frequently"/>
    <n v="461"/>
    <x v="1"/>
    <n v="1"/>
    <x v="3"/>
    <x v="0"/>
    <n v="1"/>
    <n v="1753"/>
    <n v="4"/>
    <x v="1"/>
    <n v="70"/>
    <n v="4"/>
    <n v="2"/>
    <x v="4"/>
    <n v="3"/>
    <x v="0"/>
    <n v="6294"/>
    <n v="23060"/>
    <n v="8"/>
    <s v="Y"/>
    <s v="Yes"/>
    <n v="12"/>
    <n v="3"/>
    <n v="4"/>
    <n v="80"/>
    <n v="0"/>
    <n v="10"/>
    <n v="5"/>
    <n v="4"/>
    <n v="3"/>
    <n v="2"/>
    <n v="0"/>
    <n v="2"/>
    <n v="0"/>
    <x v="2"/>
  </r>
  <r>
    <n v="30"/>
    <x v="1"/>
    <s v="Travel_Rarely"/>
    <n v="979"/>
    <x v="0"/>
    <n v="15"/>
    <x v="0"/>
    <x v="3"/>
    <n v="1"/>
    <n v="1754"/>
    <n v="3"/>
    <x v="1"/>
    <n v="94"/>
    <n v="2"/>
    <n v="3"/>
    <x v="0"/>
    <n v="1"/>
    <x v="2"/>
    <n v="7140"/>
    <n v="3088"/>
    <n v="2"/>
    <s v="Y"/>
    <s v="No"/>
    <n v="11"/>
    <n v="3"/>
    <n v="1"/>
    <n v="80"/>
    <n v="1"/>
    <n v="12"/>
    <n v="2"/>
    <n v="3"/>
    <n v="7"/>
    <n v="7"/>
    <n v="1"/>
    <n v="7"/>
    <n v="0"/>
    <x v="2"/>
  </r>
  <r>
    <n v="34"/>
    <x v="1"/>
    <s v="Travel_Rarely"/>
    <n v="181"/>
    <x v="1"/>
    <n v="2"/>
    <x v="2"/>
    <x v="2"/>
    <n v="1"/>
    <n v="1755"/>
    <n v="4"/>
    <x v="1"/>
    <n v="97"/>
    <n v="4"/>
    <n v="1"/>
    <x v="1"/>
    <n v="4"/>
    <x v="1"/>
    <n v="2932"/>
    <n v="5586"/>
    <n v="0"/>
    <s v="Y"/>
    <s v="Yes"/>
    <n v="14"/>
    <n v="3"/>
    <n v="1"/>
    <n v="80"/>
    <n v="3"/>
    <n v="6"/>
    <n v="3"/>
    <n v="3"/>
    <n v="5"/>
    <n v="0"/>
    <n v="1"/>
    <n v="2"/>
    <n v="0"/>
    <x v="2"/>
  </r>
  <r>
    <n v="33"/>
    <x v="1"/>
    <s v="Non-Travel"/>
    <n v="1283"/>
    <x v="0"/>
    <n v="2"/>
    <x v="3"/>
    <x v="3"/>
    <n v="1"/>
    <n v="1756"/>
    <n v="4"/>
    <x v="0"/>
    <n v="62"/>
    <n v="3"/>
    <n v="2"/>
    <x v="0"/>
    <n v="2"/>
    <x v="0"/>
    <n v="5147"/>
    <n v="10697"/>
    <n v="8"/>
    <s v="Y"/>
    <s v="No"/>
    <n v="15"/>
    <n v="3"/>
    <n v="4"/>
    <n v="80"/>
    <n v="0"/>
    <n v="13"/>
    <n v="2"/>
    <n v="2"/>
    <n v="11"/>
    <n v="7"/>
    <n v="1"/>
    <n v="7"/>
    <n v="0"/>
    <x v="2"/>
  </r>
  <r>
    <n v="49"/>
    <x v="1"/>
    <s v="Travel_Rarely"/>
    <n v="1313"/>
    <x v="0"/>
    <n v="11"/>
    <x v="2"/>
    <x v="3"/>
    <n v="1"/>
    <n v="1757"/>
    <n v="4"/>
    <x v="0"/>
    <n v="80"/>
    <n v="3"/>
    <n v="2"/>
    <x v="0"/>
    <n v="4"/>
    <x v="0"/>
    <n v="4507"/>
    <n v="8191"/>
    <n v="3"/>
    <s v="Y"/>
    <s v="No"/>
    <n v="12"/>
    <n v="3"/>
    <n v="3"/>
    <n v="80"/>
    <n v="0"/>
    <n v="8"/>
    <n v="1"/>
    <n v="4"/>
    <n v="5"/>
    <n v="1"/>
    <n v="0"/>
    <n v="4"/>
    <n v="0"/>
    <x v="1"/>
  </r>
  <r>
    <n v="33"/>
    <x v="0"/>
    <s v="Travel_Rarely"/>
    <n v="211"/>
    <x v="0"/>
    <n v="16"/>
    <x v="3"/>
    <x v="0"/>
    <n v="1"/>
    <n v="1758"/>
    <n v="1"/>
    <x v="0"/>
    <n v="74"/>
    <n v="3"/>
    <n v="3"/>
    <x v="0"/>
    <n v="1"/>
    <x v="0"/>
    <n v="8564"/>
    <n v="10092"/>
    <n v="2"/>
    <s v="Y"/>
    <s v="Yes"/>
    <n v="20"/>
    <n v="4"/>
    <n v="3"/>
    <n v="80"/>
    <n v="0"/>
    <n v="11"/>
    <n v="2"/>
    <n v="2"/>
    <n v="0"/>
    <n v="0"/>
    <n v="0"/>
    <n v="0"/>
    <n v="1"/>
    <x v="2"/>
  </r>
  <r>
    <n v="38"/>
    <x v="1"/>
    <s v="Travel_Frequently"/>
    <n v="594"/>
    <x v="1"/>
    <n v="2"/>
    <x v="0"/>
    <x v="2"/>
    <n v="1"/>
    <n v="1760"/>
    <n v="3"/>
    <x v="0"/>
    <n v="75"/>
    <n v="2"/>
    <n v="1"/>
    <x v="2"/>
    <n v="2"/>
    <x v="1"/>
    <n v="2468"/>
    <n v="15963"/>
    <n v="4"/>
    <s v="Y"/>
    <s v="No"/>
    <n v="14"/>
    <n v="3"/>
    <n v="2"/>
    <n v="80"/>
    <n v="1"/>
    <n v="9"/>
    <n v="4"/>
    <n v="2"/>
    <n v="6"/>
    <n v="1"/>
    <n v="0"/>
    <n v="5"/>
    <n v="0"/>
    <x v="0"/>
  </r>
  <r>
    <n v="31"/>
    <x v="0"/>
    <s v="Travel_Rarely"/>
    <n v="1079"/>
    <x v="0"/>
    <n v="16"/>
    <x v="2"/>
    <x v="3"/>
    <n v="1"/>
    <n v="1761"/>
    <n v="1"/>
    <x v="1"/>
    <n v="70"/>
    <n v="3"/>
    <n v="3"/>
    <x v="0"/>
    <n v="3"/>
    <x v="1"/>
    <n v="8161"/>
    <n v="19002"/>
    <n v="2"/>
    <s v="Y"/>
    <s v="No"/>
    <n v="13"/>
    <n v="3"/>
    <n v="1"/>
    <n v="80"/>
    <n v="3"/>
    <n v="10"/>
    <n v="2"/>
    <n v="3"/>
    <n v="1"/>
    <n v="0"/>
    <n v="0"/>
    <n v="0"/>
    <n v="1"/>
    <x v="2"/>
  </r>
  <r>
    <n v="29"/>
    <x v="1"/>
    <s v="Travel_Rarely"/>
    <n v="590"/>
    <x v="1"/>
    <n v="4"/>
    <x v="3"/>
    <x v="4"/>
    <n v="1"/>
    <n v="1762"/>
    <n v="4"/>
    <x v="0"/>
    <n v="91"/>
    <n v="2"/>
    <n v="1"/>
    <x v="1"/>
    <n v="1"/>
    <x v="2"/>
    <n v="2109"/>
    <n v="10007"/>
    <n v="1"/>
    <s v="Y"/>
    <s v="No"/>
    <n v="13"/>
    <n v="3"/>
    <n v="3"/>
    <n v="80"/>
    <n v="1"/>
    <n v="1"/>
    <n v="2"/>
    <n v="3"/>
    <n v="1"/>
    <n v="0"/>
    <n v="0"/>
    <n v="0"/>
    <n v="0"/>
    <x v="2"/>
  </r>
  <r>
    <n v="30"/>
    <x v="1"/>
    <s v="Travel_Rarely"/>
    <n v="305"/>
    <x v="1"/>
    <n v="16"/>
    <x v="3"/>
    <x v="0"/>
    <n v="1"/>
    <n v="1763"/>
    <n v="3"/>
    <x v="1"/>
    <n v="58"/>
    <n v="4"/>
    <n v="2"/>
    <x v="4"/>
    <n v="3"/>
    <x v="1"/>
    <n v="5294"/>
    <n v="9128"/>
    <n v="3"/>
    <s v="Y"/>
    <s v="No"/>
    <n v="16"/>
    <n v="3"/>
    <n v="3"/>
    <n v="80"/>
    <n v="1"/>
    <n v="10"/>
    <n v="3"/>
    <n v="3"/>
    <n v="7"/>
    <n v="0"/>
    <n v="1"/>
    <n v="7"/>
    <n v="0"/>
    <x v="2"/>
  </r>
  <r>
    <n v="32"/>
    <x v="1"/>
    <s v="Non-Travel"/>
    <n v="953"/>
    <x v="1"/>
    <n v="5"/>
    <x v="2"/>
    <x v="4"/>
    <n v="1"/>
    <n v="1764"/>
    <n v="2"/>
    <x v="1"/>
    <n v="65"/>
    <n v="3"/>
    <n v="1"/>
    <x v="1"/>
    <n v="2"/>
    <x v="0"/>
    <n v="2718"/>
    <n v="17674"/>
    <n v="2"/>
    <s v="Y"/>
    <s v="No"/>
    <n v="14"/>
    <n v="3"/>
    <n v="2"/>
    <n v="80"/>
    <n v="0"/>
    <n v="12"/>
    <n v="3"/>
    <n v="3"/>
    <n v="7"/>
    <n v="7"/>
    <n v="0"/>
    <n v="7"/>
    <n v="0"/>
    <x v="2"/>
  </r>
  <r>
    <n v="38"/>
    <x v="1"/>
    <s v="Travel_Rarely"/>
    <n v="833"/>
    <x v="1"/>
    <n v="18"/>
    <x v="3"/>
    <x v="2"/>
    <n v="1"/>
    <n v="1766"/>
    <n v="2"/>
    <x v="1"/>
    <n v="60"/>
    <n v="1"/>
    <n v="2"/>
    <x v="4"/>
    <n v="4"/>
    <x v="1"/>
    <n v="5811"/>
    <n v="24539"/>
    <n v="3"/>
    <s v="Y"/>
    <s v="Yes"/>
    <n v="16"/>
    <n v="3"/>
    <n v="3"/>
    <n v="80"/>
    <n v="1"/>
    <n v="15"/>
    <n v="2"/>
    <n v="3"/>
    <n v="1"/>
    <n v="0"/>
    <n v="1"/>
    <n v="0"/>
    <n v="0"/>
    <x v="0"/>
  </r>
  <r>
    <n v="43"/>
    <x v="0"/>
    <s v="Travel_Frequently"/>
    <n v="807"/>
    <x v="1"/>
    <n v="17"/>
    <x v="3"/>
    <x v="4"/>
    <n v="1"/>
    <n v="1767"/>
    <n v="3"/>
    <x v="1"/>
    <n v="38"/>
    <n v="2"/>
    <n v="1"/>
    <x v="1"/>
    <n v="3"/>
    <x v="1"/>
    <n v="2437"/>
    <n v="15587"/>
    <n v="9"/>
    <s v="Y"/>
    <s v="Yes"/>
    <n v="16"/>
    <n v="3"/>
    <n v="4"/>
    <n v="80"/>
    <n v="1"/>
    <n v="6"/>
    <n v="4"/>
    <n v="3"/>
    <n v="1"/>
    <n v="0"/>
    <n v="0"/>
    <n v="0"/>
    <n v="1"/>
    <x v="0"/>
  </r>
  <r>
    <n v="42"/>
    <x v="1"/>
    <s v="Travel_Rarely"/>
    <n v="855"/>
    <x v="1"/>
    <n v="12"/>
    <x v="3"/>
    <x v="2"/>
    <n v="1"/>
    <n v="1768"/>
    <n v="2"/>
    <x v="1"/>
    <n v="57"/>
    <n v="3"/>
    <n v="1"/>
    <x v="2"/>
    <n v="2"/>
    <x v="2"/>
    <n v="2766"/>
    <n v="8952"/>
    <n v="8"/>
    <s v="Y"/>
    <s v="No"/>
    <n v="22"/>
    <n v="4"/>
    <n v="2"/>
    <n v="80"/>
    <n v="3"/>
    <n v="7"/>
    <n v="6"/>
    <n v="2"/>
    <n v="5"/>
    <n v="3"/>
    <n v="0"/>
    <n v="4"/>
    <n v="0"/>
    <x v="0"/>
  </r>
  <r>
    <n v="55"/>
    <x v="1"/>
    <s v="Travel_Rarely"/>
    <n v="478"/>
    <x v="1"/>
    <n v="2"/>
    <x v="3"/>
    <x v="2"/>
    <n v="1"/>
    <n v="1770"/>
    <n v="3"/>
    <x v="1"/>
    <n v="60"/>
    <n v="2"/>
    <n v="5"/>
    <x v="7"/>
    <n v="1"/>
    <x v="1"/>
    <n v="19038"/>
    <n v="19805"/>
    <n v="8"/>
    <s v="Y"/>
    <s v="No"/>
    <n v="12"/>
    <n v="3"/>
    <n v="2"/>
    <n v="80"/>
    <n v="3"/>
    <n v="34"/>
    <n v="2"/>
    <n v="3"/>
    <n v="1"/>
    <n v="0"/>
    <n v="0"/>
    <n v="0"/>
    <n v="0"/>
    <x v="3"/>
  </r>
  <r>
    <n v="33"/>
    <x v="1"/>
    <s v="Non-Travel"/>
    <n v="775"/>
    <x v="1"/>
    <n v="4"/>
    <x v="3"/>
    <x v="4"/>
    <n v="1"/>
    <n v="1771"/>
    <n v="4"/>
    <x v="1"/>
    <n v="90"/>
    <n v="3"/>
    <n v="2"/>
    <x v="1"/>
    <n v="2"/>
    <x v="2"/>
    <n v="3055"/>
    <n v="6194"/>
    <n v="5"/>
    <s v="Y"/>
    <s v="No"/>
    <n v="15"/>
    <n v="3"/>
    <n v="4"/>
    <n v="80"/>
    <n v="2"/>
    <n v="11"/>
    <n v="2"/>
    <n v="2"/>
    <n v="9"/>
    <n v="8"/>
    <n v="1"/>
    <n v="7"/>
    <n v="0"/>
    <x v="2"/>
  </r>
  <r>
    <n v="41"/>
    <x v="1"/>
    <s v="Travel_Rarely"/>
    <n v="548"/>
    <x v="1"/>
    <n v="9"/>
    <x v="2"/>
    <x v="0"/>
    <n v="1"/>
    <n v="1772"/>
    <n v="3"/>
    <x v="1"/>
    <n v="94"/>
    <n v="3"/>
    <n v="1"/>
    <x v="2"/>
    <n v="1"/>
    <x v="2"/>
    <n v="2289"/>
    <n v="20520"/>
    <n v="1"/>
    <s v="Y"/>
    <s v="No"/>
    <n v="20"/>
    <n v="4"/>
    <n v="2"/>
    <n v="80"/>
    <n v="2"/>
    <n v="5"/>
    <n v="2"/>
    <n v="3"/>
    <n v="5"/>
    <n v="3"/>
    <n v="0"/>
    <n v="4"/>
    <n v="0"/>
    <x v="0"/>
  </r>
  <r>
    <n v="34"/>
    <x v="1"/>
    <s v="Non-Travel"/>
    <n v="1375"/>
    <x v="0"/>
    <n v="10"/>
    <x v="3"/>
    <x v="0"/>
    <n v="1"/>
    <n v="1774"/>
    <n v="4"/>
    <x v="1"/>
    <n v="87"/>
    <n v="3"/>
    <n v="2"/>
    <x v="0"/>
    <n v="3"/>
    <x v="2"/>
    <n v="4001"/>
    <n v="12313"/>
    <n v="1"/>
    <s v="Y"/>
    <s v="Yes"/>
    <n v="14"/>
    <n v="3"/>
    <n v="3"/>
    <n v="80"/>
    <n v="1"/>
    <n v="15"/>
    <n v="3"/>
    <n v="3"/>
    <n v="15"/>
    <n v="14"/>
    <n v="0"/>
    <n v="7"/>
    <n v="0"/>
    <x v="2"/>
  </r>
  <r>
    <n v="53"/>
    <x v="1"/>
    <s v="Non-Travel"/>
    <n v="661"/>
    <x v="1"/>
    <n v="1"/>
    <x v="2"/>
    <x v="2"/>
    <n v="1"/>
    <n v="1775"/>
    <n v="1"/>
    <x v="0"/>
    <n v="60"/>
    <n v="2"/>
    <n v="4"/>
    <x v="3"/>
    <n v="3"/>
    <x v="1"/>
    <n v="12965"/>
    <n v="22308"/>
    <n v="4"/>
    <s v="Y"/>
    <s v="Yes"/>
    <n v="20"/>
    <n v="4"/>
    <n v="4"/>
    <n v="80"/>
    <n v="3"/>
    <n v="27"/>
    <n v="2"/>
    <n v="2"/>
    <n v="3"/>
    <n v="2"/>
    <n v="0"/>
    <n v="2"/>
    <n v="0"/>
    <x v="1"/>
  </r>
  <r>
    <n v="43"/>
    <x v="1"/>
    <s v="Travel_Rarely"/>
    <n v="244"/>
    <x v="2"/>
    <n v="2"/>
    <x v="3"/>
    <x v="0"/>
    <n v="1"/>
    <n v="1778"/>
    <n v="2"/>
    <x v="1"/>
    <n v="97"/>
    <n v="3"/>
    <n v="1"/>
    <x v="8"/>
    <n v="4"/>
    <x v="0"/>
    <n v="3539"/>
    <n v="5033"/>
    <n v="0"/>
    <s v="Y"/>
    <s v="No"/>
    <n v="13"/>
    <n v="3"/>
    <n v="2"/>
    <n v="80"/>
    <n v="0"/>
    <n v="10"/>
    <n v="5"/>
    <n v="3"/>
    <n v="9"/>
    <n v="7"/>
    <n v="1"/>
    <n v="8"/>
    <n v="0"/>
    <x v="0"/>
  </r>
  <r>
    <n v="34"/>
    <x v="1"/>
    <s v="Travel_Rarely"/>
    <n v="511"/>
    <x v="0"/>
    <n v="3"/>
    <x v="0"/>
    <x v="0"/>
    <n v="1"/>
    <n v="1779"/>
    <n v="4"/>
    <x v="0"/>
    <n v="32"/>
    <n v="1"/>
    <n v="2"/>
    <x v="0"/>
    <n v="4"/>
    <x v="0"/>
    <n v="6029"/>
    <n v="25353"/>
    <n v="5"/>
    <s v="Y"/>
    <s v="No"/>
    <n v="12"/>
    <n v="3"/>
    <n v="1"/>
    <n v="80"/>
    <n v="0"/>
    <n v="6"/>
    <n v="3"/>
    <n v="3"/>
    <n v="2"/>
    <n v="2"/>
    <n v="2"/>
    <n v="2"/>
    <n v="0"/>
    <x v="2"/>
  </r>
  <r>
    <n v="21"/>
    <x v="0"/>
    <s v="Travel_Rarely"/>
    <n v="337"/>
    <x v="0"/>
    <n v="7"/>
    <x v="1"/>
    <x v="3"/>
    <n v="1"/>
    <n v="1780"/>
    <n v="2"/>
    <x v="1"/>
    <n v="31"/>
    <n v="3"/>
    <n v="1"/>
    <x v="6"/>
    <n v="2"/>
    <x v="0"/>
    <n v="2679"/>
    <n v="4567"/>
    <n v="1"/>
    <s v="Y"/>
    <s v="No"/>
    <n v="13"/>
    <n v="3"/>
    <n v="2"/>
    <n v="80"/>
    <n v="0"/>
    <n v="1"/>
    <n v="3"/>
    <n v="3"/>
    <n v="1"/>
    <n v="0"/>
    <n v="1"/>
    <n v="0"/>
    <n v="1"/>
    <x v="4"/>
  </r>
  <r>
    <n v="38"/>
    <x v="1"/>
    <s v="Travel_Rarely"/>
    <n v="1153"/>
    <x v="1"/>
    <n v="6"/>
    <x v="0"/>
    <x v="1"/>
    <n v="1"/>
    <n v="1782"/>
    <n v="4"/>
    <x v="0"/>
    <n v="40"/>
    <n v="2"/>
    <n v="1"/>
    <x v="2"/>
    <n v="3"/>
    <x v="1"/>
    <n v="3702"/>
    <n v="16376"/>
    <n v="1"/>
    <s v="Y"/>
    <s v="No"/>
    <n v="11"/>
    <n v="3"/>
    <n v="2"/>
    <n v="80"/>
    <n v="1"/>
    <n v="5"/>
    <n v="3"/>
    <n v="3"/>
    <n v="5"/>
    <n v="4"/>
    <n v="0"/>
    <n v="4"/>
    <n v="0"/>
    <x v="0"/>
  </r>
  <r>
    <n v="22"/>
    <x v="0"/>
    <s v="Travel_Rarely"/>
    <n v="1294"/>
    <x v="1"/>
    <n v="8"/>
    <x v="1"/>
    <x v="2"/>
    <n v="1"/>
    <n v="1783"/>
    <n v="3"/>
    <x v="0"/>
    <n v="79"/>
    <n v="3"/>
    <n v="1"/>
    <x v="2"/>
    <n v="1"/>
    <x v="1"/>
    <n v="2398"/>
    <n v="15999"/>
    <n v="1"/>
    <s v="Y"/>
    <s v="Yes"/>
    <n v="17"/>
    <n v="3"/>
    <n v="3"/>
    <n v="80"/>
    <n v="0"/>
    <n v="1"/>
    <n v="6"/>
    <n v="3"/>
    <n v="1"/>
    <n v="0"/>
    <n v="0"/>
    <n v="0"/>
    <n v="1"/>
    <x v="4"/>
  </r>
  <r>
    <n v="31"/>
    <x v="1"/>
    <s v="Travel_Rarely"/>
    <n v="196"/>
    <x v="0"/>
    <n v="29"/>
    <x v="2"/>
    <x v="3"/>
    <n v="1"/>
    <n v="1784"/>
    <n v="1"/>
    <x v="0"/>
    <n v="91"/>
    <n v="2"/>
    <n v="2"/>
    <x v="0"/>
    <n v="4"/>
    <x v="1"/>
    <n v="5468"/>
    <n v="13402"/>
    <n v="1"/>
    <s v="Y"/>
    <s v="No"/>
    <n v="14"/>
    <n v="3"/>
    <n v="1"/>
    <n v="80"/>
    <n v="2"/>
    <n v="13"/>
    <n v="3"/>
    <n v="3"/>
    <n v="12"/>
    <n v="7"/>
    <n v="5"/>
    <n v="7"/>
    <n v="0"/>
    <x v="2"/>
  </r>
  <r>
    <n v="51"/>
    <x v="1"/>
    <s v="Travel_Rarely"/>
    <n v="942"/>
    <x v="1"/>
    <n v="3"/>
    <x v="3"/>
    <x v="4"/>
    <n v="1"/>
    <n v="1786"/>
    <n v="1"/>
    <x v="0"/>
    <n v="53"/>
    <n v="3"/>
    <n v="3"/>
    <x v="5"/>
    <n v="3"/>
    <x v="1"/>
    <n v="13116"/>
    <n v="22984"/>
    <n v="2"/>
    <s v="Y"/>
    <s v="No"/>
    <n v="11"/>
    <n v="3"/>
    <n v="4"/>
    <n v="80"/>
    <n v="0"/>
    <n v="15"/>
    <n v="2"/>
    <n v="3"/>
    <n v="2"/>
    <n v="2"/>
    <n v="2"/>
    <n v="2"/>
    <n v="0"/>
    <x v="1"/>
  </r>
  <r>
    <n v="37"/>
    <x v="1"/>
    <s v="Travel_Rarely"/>
    <n v="589"/>
    <x v="0"/>
    <n v="9"/>
    <x v="0"/>
    <x v="3"/>
    <n v="1"/>
    <n v="1787"/>
    <n v="2"/>
    <x v="1"/>
    <n v="46"/>
    <n v="2"/>
    <n v="2"/>
    <x v="0"/>
    <n v="2"/>
    <x v="1"/>
    <n v="4189"/>
    <n v="8800"/>
    <n v="1"/>
    <s v="Y"/>
    <s v="No"/>
    <n v="14"/>
    <n v="3"/>
    <n v="1"/>
    <n v="80"/>
    <n v="2"/>
    <n v="5"/>
    <n v="2"/>
    <n v="3"/>
    <n v="5"/>
    <n v="2"/>
    <n v="0"/>
    <n v="3"/>
    <n v="0"/>
    <x v="0"/>
  </r>
  <r>
    <n v="46"/>
    <x v="1"/>
    <s v="Travel_Rarely"/>
    <n v="734"/>
    <x v="1"/>
    <n v="2"/>
    <x v="2"/>
    <x v="2"/>
    <n v="1"/>
    <n v="1789"/>
    <n v="3"/>
    <x v="1"/>
    <n v="46"/>
    <n v="3"/>
    <n v="5"/>
    <x v="7"/>
    <n v="4"/>
    <x v="2"/>
    <n v="19328"/>
    <n v="14218"/>
    <n v="7"/>
    <s v="Y"/>
    <s v="Yes"/>
    <n v="17"/>
    <n v="3"/>
    <n v="3"/>
    <n v="80"/>
    <n v="1"/>
    <n v="24"/>
    <n v="3"/>
    <n v="3"/>
    <n v="2"/>
    <n v="1"/>
    <n v="2"/>
    <n v="2"/>
    <n v="0"/>
    <x v="1"/>
  </r>
  <r>
    <n v="36"/>
    <x v="1"/>
    <s v="Travel_Rarely"/>
    <n v="1383"/>
    <x v="1"/>
    <n v="10"/>
    <x v="3"/>
    <x v="0"/>
    <n v="1"/>
    <n v="1790"/>
    <n v="4"/>
    <x v="1"/>
    <n v="90"/>
    <n v="3"/>
    <n v="3"/>
    <x v="4"/>
    <n v="1"/>
    <x v="1"/>
    <n v="8321"/>
    <n v="25949"/>
    <n v="7"/>
    <s v="Y"/>
    <s v="Yes"/>
    <n v="13"/>
    <n v="3"/>
    <n v="4"/>
    <n v="80"/>
    <n v="1"/>
    <n v="15"/>
    <n v="1"/>
    <n v="3"/>
    <n v="12"/>
    <n v="8"/>
    <n v="5"/>
    <n v="7"/>
    <n v="0"/>
    <x v="0"/>
  </r>
  <r>
    <n v="44"/>
    <x v="0"/>
    <s v="Travel_Frequently"/>
    <n v="429"/>
    <x v="1"/>
    <n v="1"/>
    <x v="0"/>
    <x v="2"/>
    <n v="1"/>
    <n v="1792"/>
    <n v="3"/>
    <x v="1"/>
    <n v="99"/>
    <n v="3"/>
    <n v="1"/>
    <x v="1"/>
    <n v="2"/>
    <x v="2"/>
    <n v="2342"/>
    <n v="11092"/>
    <n v="1"/>
    <s v="Y"/>
    <s v="Yes"/>
    <n v="12"/>
    <n v="3"/>
    <n v="3"/>
    <n v="80"/>
    <n v="3"/>
    <n v="6"/>
    <n v="2"/>
    <n v="2"/>
    <n v="5"/>
    <n v="3"/>
    <n v="2"/>
    <n v="3"/>
    <n v="1"/>
    <x v="0"/>
  </r>
  <r>
    <n v="37"/>
    <x v="1"/>
    <s v="Travel_Rarely"/>
    <n v="1239"/>
    <x v="2"/>
    <n v="8"/>
    <x v="0"/>
    <x v="1"/>
    <n v="1"/>
    <n v="1794"/>
    <n v="3"/>
    <x v="1"/>
    <n v="89"/>
    <n v="3"/>
    <n v="2"/>
    <x v="8"/>
    <n v="2"/>
    <x v="2"/>
    <n v="4071"/>
    <n v="12832"/>
    <n v="2"/>
    <s v="Y"/>
    <s v="No"/>
    <n v="13"/>
    <n v="3"/>
    <n v="3"/>
    <n v="80"/>
    <n v="0"/>
    <n v="19"/>
    <n v="4"/>
    <n v="2"/>
    <n v="10"/>
    <n v="0"/>
    <n v="4"/>
    <n v="7"/>
    <n v="0"/>
    <x v="0"/>
  </r>
  <r>
    <n v="35"/>
    <x v="0"/>
    <s v="Travel_Rarely"/>
    <n v="303"/>
    <x v="0"/>
    <n v="27"/>
    <x v="3"/>
    <x v="0"/>
    <n v="1"/>
    <n v="1797"/>
    <n v="3"/>
    <x v="1"/>
    <n v="84"/>
    <n v="3"/>
    <n v="2"/>
    <x v="0"/>
    <n v="4"/>
    <x v="0"/>
    <n v="5813"/>
    <n v="13492"/>
    <n v="1"/>
    <s v="Y"/>
    <s v="Yes"/>
    <n v="18"/>
    <n v="3"/>
    <n v="4"/>
    <n v="80"/>
    <n v="0"/>
    <n v="10"/>
    <n v="2"/>
    <n v="3"/>
    <n v="10"/>
    <n v="7"/>
    <n v="7"/>
    <n v="7"/>
    <n v="1"/>
    <x v="0"/>
  </r>
  <r>
    <n v="33"/>
    <x v="1"/>
    <s v="Travel_Rarely"/>
    <n v="867"/>
    <x v="1"/>
    <n v="8"/>
    <x v="2"/>
    <x v="0"/>
    <n v="1"/>
    <n v="1798"/>
    <n v="4"/>
    <x v="1"/>
    <n v="90"/>
    <n v="4"/>
    <n v="1"/>
    <x v="1"/>
    <n v="1"/>
    <x v="1"/>
    <n v="3143"/>
    <n v="6076"/>
    <n v="6"/>
    <s v="Y"/>
    <s v="No"/>
    <n v="19"/>
    <n v="3"/>
    <n v="2"/>
    <n v="80"/>
    <n v="1"/>
    <n v="14"/>
    <n v="1"/>
    <n v="3"/>
    <n v="10"/>
    <n v="8"/>
    <n v="7"/>
    <n v="6"/>
    <n v="0"/>
    <x v="2"/>
  </r>
  <r>
    <n v="28"/>
    <x v="1"/>
    <s v="Travel_Rarely"/>
    <n v="1181"/>
    <x v="1"/>
    <n v="1"/>
    <x v="3"/>
    <x v="0"/>
    <n v="1"/>
    <n v="1799"/>
    <n v="3"/>
    <x v="1"/>
    <n v="82"/>
    <n v="3"/>
    <n v="1"/>
    <x v="1"/>
    <n v="4"/>
    <x v="1"/>
    <n v="2044"/>
    <n v="5531"/>
    <n v="1"/>
    <s v="Y"/>
    <s v="No"/>
    <n v="11"/>
    <n v="3"/>
    <n v="3"/>
    <n v="80"/>
    <n v="1"/>
    <n v="5"/>
    <n v="6"/>
    <n v="4"/>
    <n v="5"/>
    <n v="3"/>
    <n v="0"/>
    <n v="3"/>
    <n v="0"/>
    <x v="2"/>
  </r>
  <r>
    <n v="39"/>
    <x v="1"/>
    <s v="Travel_Rarely"/>
    <n v="1253"/>
    <x v="1"/>
    <n v="10"/>
    <x v="1"/>
    <x v="2"/>
    <n v="1"/>
    <n v="1800"/>
    <n v="3"/>
    <x v="1"/>
    <n v="65"/>
    <n v="3"/>
    <n v="3"/>
    <x v="7"/>
    <n v="3"/>
    <x v="0"/>
    <n v="13464"/>
    <n v="7914"/>
    <n v="7"/>
    <s v="Y"/>
    <s v="No"/>
    <n v="21"/>
    <n v="4"/>
    <n v="3"/>
    <n v="80"/>
    <n v="0"/>
    <n v="9"/>
    <n v="3"/>
    <n v="3"/>
    <n v="4"/>
    <n v="3"/>
    <n v="2"/>
    <n v="2"/>
    <n v="0"/>
    <x v="0"/>
  </r>
  <r>
    <n v="46"/>
    <x v="1"/>
    <s v="Non-Travel"/>
    <n v="849"/>
    <x v="0"/>
    <n v="26"/>
    <x v="0"/>
    <x v="0"/>
    <n v="1"/>
    <n v="1801"/>
    <n v="2"/>
    <x v="1"/>
    <n v="98"/>
    <n v="2"/>
    <n v="2"/>
    <x v="0"/>
    <n v="2"/>
    <x v="0"/>
    <n v="7991"/>
    <n v="25166"/>
    <n v="8"/>
    <s v="Y"/>
    <s v="No"/>
    <n v="15"/>
    <n v="3"/>
    <n v="3"/>
    <n v="80"/>
    <n v="0"/>
    <n v="6"/>
    <n v="3"/>
    <n v="3"/>
    <n v="2"/>
    <n v="2"/>
    <n v="2"/>
    <n v="2"/>
    <n v="0"/>
    <x v="1"/>
  </r>
  <r>
    <n v="40"/>
    <x v="1"/>
    <s v="Travel_Rarely"/>
    <n v="616"/>
    <x v="1"/>
    <n v="2"/>
    <x v="0"/>
    <x v="0"/>
    <n v="1"/>
    <n v="1802"/>
    <n v="3"/>
    <x v="0"/>
    <n v="99"/>
    <n v="3"/>
    <n v="1"/>
    <x v="2"/>
    <n v="1"/>
    <x v="1"/>
    <n v="3377"/>
    <n v="25605"/>
    <n v="4"/>
    <s v="Y"/>
    <s v="No"/>
    <n v="17"/>
    <n v="3"/>
    <n v="4"/>
    <n v="80"/>
    <n v="1"/>
    <n v="7"/>
    <n v="5"/>
    <n v="2"/>
    <n v="4"/>
    <n v="3"/>
    <n v="0"/>
    <n v="2"/>
    <n v="0"/>
    <x v="0"/>
  </r>
  <r>
    <n v="42"/>
    <x v="1"/>
    <s v="Travel_Rarely"/>
    <n v="1128"/>
    <x v="1"/>
    <n v="13"/>
    <x v="3"/>
    <x v="2"/>
    <n v="1"/>
    <n v="1803"/>
    <n v="2"/>
    <x v="1"/>
    <n v="95"/>
    <n v="4"/>
    <n v="2"/>
    <x v="4"/>
    <n v="1"/>
    <x v="1"/>
    <n v="5538"/>
    <n v="5696"/>
    <n v="5"/>
    <s v="Y"/>
    <s v="No"/>
    <n v="18"/>
    <n v="3"/>
    <n v="3"/>
    <n v="80"/>
    <n v="2"/>
    <n v="10"/>
    <n v="2"/>
    <n v="2"/>
    <n v="0"/>
    <n v="0"/>
    <n v="0"/>
    <n v="0"/>
    <n v="0"/>
    <x v="0"/>
  </r>
  <r>
    <n v="35"/>
    <x v="1"/>
    <s v="Non-Travel"/>
    <n v="1180"/>
    <x v="1"/>
    <n v="2"/>
    <x v="0"/>
    <x v="2"/>
    <n v="1"/>
    <n v="1804"/>
    <n v="2"/>
    <x v="1"/>
    <n v="90"/>
    <n v="3"/>
    <n v="2"/>
    <x v="3"/>
    <n v="4"/>
    <x v="2"/>
    <n v="5762"/>
    <n v="24442"/>
    <n v="2"/>
    <s v="Y"/>
    <s v="No"/>
    <n v="14"/>
    <n v="3"/>
    <n v="3"/>
    <n v="80"/>
    <n v="1"/>
    <n v="15"/>
    <n v="6"/>
    <n v="3"/>
    <n v="7"/>
    <n v="7"/>
    <n v="1"/>
    <n v="7"/>
    <n v="0"/>
    <x v="0"/>
  </r>
  <r>
    <n v="38"/>
    <x v="1"/>
    <s v="Non-Travel"/>
    <n v="1336"/>
    <x v="2"/>
    <n v="2"/>
    <x v="3"/>
    <x v="5"/>
    <n v="1"/>
    <n v="1805"/>
    <n v="1"/>
    <x v="1"/>
    <n v="100"/>
    <n v="3"/>
    <n v="1"/>
    <x v="8"/>
    <n v="2"/>
    <x v="2"/>
    <n v="2592"/>
    <n v="7129"/>
    <n v="5"/>
    <s v="Y"/>
    <s v="No"/>
    <n v="13"/>
    <n v="3"/>
    <n v="4"/>
    <n v="80"/>
    <n v="3"/>
    <n v="13"/>
    <n v="3"/>
    <n v="3"/>
    <n v="11"/>
    <n v="10"/>
    <n v="3"/>
    <n v="8"/>
    <n v="0"/>
    <x v="0"/>
  </r>
  <r>
    <n v="34"/>
    <x v="0"/>
    <s v="Travel_Frequently"/>
    <n v="234"/>
    <x v="1"/>
    <n v="9"/>
    <x v="2"/>
    <x v="0"/>
    <n v="1"/>
    <n v="1807"/>
    <n v="4"/>
    <x v="1"/>
    <n v="93"/>
    <n v="3"/>
    <n v="2"/>
    <x v="2"/>
    <n v="1"/>
    <x v="1"/>
    <n v="5346"/>
    <n v="6208"/>
    <n v="4"/>
    <s v="Y"/>
    <s v="No"/>
    <n v="17"/>
    <n v="3"/>
    <n v="3"/>
    <n v="80"/>
    <n v="1"/>
    <n v="11"/>
    <n v="3"/>
    <n v="2"/>
    <n v="7"/>
    <n v="1"/>
    <n v="0"/>
    <n v="7"/>
    <n v="1"/>
    <x v="2"/>
  </r>
  <r>
    <n v="37"/>
    <x v="0"/>
    <s v="Travel_Rarely"/>
    <n v="370"/>
    <x v="1"/>
    <n v="10"/>
    <x v="2"/>
    <x v="2"/>
    <n v="1"/>
    <n v="1809"/>
    <n v="4"/>
    <x v="1"/>
    <n v="58"/>
    <n v="3"/>
    <n v="2"/>
    <x v="3"/>
    <n v="1"/>
    <x v="0"/>
    <n v="4213"/>
    <n v="4992"/>
    <n v="1"/>
    <s v="Y"/>
    <s v="No"/>
    <n v="15"/>
    <n v="3"/>
    <n v="2"/>
    <n v="80"/>
    <n v="0"/>
    <n v="10"/>
    <n v="4"/>
    <n v="1"/>
    <n v="10"/>
    <n v="3"/>
    <n v="0"/>
    <n v="8"/>
    <n v="1"/>
    <x v="0"/>
  </r>
  <r>
    <n v="39"/>
    <x v="1"/>
    <s v="Travel_Frequently"/>
    <n v="766"/>
    <x v="0"/>
    <n v="20"/>
    <x v="3"/>
    <x v="0"/>
    <n v="1"/>
    <n v="1812"/>
    <n v="3"/>
    <x v="1"/>
    <n v="83"/>
    <n v="3"/>
    <n v="2"/>
    <x v="0"/>
    <n v="4"/>
    <x v="2"/>
    <n v="4127"/>
    <n v="19188"/>
    <n v="2"/>
    <s v="Y"/>
    <s v="No"/>
    <n v="18"/>
    <n v="3"/>
    <n v="4"/>
    <n v="80"/>
    <n v="1"/>
    <n v="7"/>
    <n v="6"/>
    <n v="3"/>
    <n v="2"/>
    <n v="1"/>
    <n v="2"/>
    <n v="2"/>
    <n v="0"/>
    <x v="0"/>
  </r>
  <r>
    <n v="43"/>
    <x v="1"/>
    <s v="Non-Travel"/>
    <n v="343"/>
    <x v="1"/>
    <n v="9"/>
    <x v="3"/>
    <x v="0"/>
    <n v="1"/>
    <n v="1813"/>
    <n v="1"/>
    <x v="1"/>
    <n v="52"/>
    <n v="3"/>
    <n v="1"/>
    <x v="1"/>
    <n v="3"/>
    <x v="0"/>
    <n v="2438"/>
    <n v="24978"/>
    <n v="4"/>
    <s v="Y"/>
    <s v="No"/>
    <n v="13"/>
    <n v="3"/>
    <n v="3"/>
    <n v="80"/>
    <n v="0"/>
    <n v="7"/>
    <n v="2"/>
    <n v="2"/>
    <n v="3"/>
    <n v="2"/>
    <n v="1"/>
    <n v="2"/>
    <n v="0"/>
    <x v="0"/>
  </r>
  <r>
    <n v="41"/>
    <x v="1"/>
    <s v="Travel_Rarely"/>
    <n v="447"/>
    <x v="1"/>
    <n v="5"/>
    <x v="3"/>
    <x v="0"/>
    <n v="1"/>
    <n v="1814"/>
    <n v="2"/>
    <x v="1"/>
    <n v="85"/>
    <n v="4"/>
    <n v="2"/>
    <x v="4"/>
    <n v="2"/>
    <x v="0"/>
    <n v="6870"/>
    <n v="15530"/>
    <n v="3"/>
    <s v="Y"/>
    <s v="No"/>
    <n v="12"/>
    <n v="3"/>
    <n v="1"/>
    <n v="80"/>
    <n v="0"/>
    <n v="11"/>
    <n v="3"/>
    <n v="1"/>
    <n v="3"/>
    <n v="2"/>
    <n v="1"/>
    <n v="2"/>
    <n v="0"/>
    <x v="0"/>
  </r>
  <r>
    <n v="41"/>
    <x v="1"/>
    <s v="Travel_Rarely"/>
    <n v="796"/>
    <x v="0"/>
    <n v="4"/>
    <x v="1"/>
    <x v="3"/>
    <n v="1"/>
    <n v="1815"/>
    <n v="3"/>
    <x v="0"/>
    <n v="81"/>
    <n v="3"/>
    <n v="3"/>
    <x v="0"/>
    <n v="3"/>
    <x v="2"/>
    <n v="10447"/>
    <n v="26458"/>
    <n v="0"/>
    <s v="Y"/>
    <s v="Yes"/>
    <n v="13"/>
    <n v="3"/>
    <n v="4"/>
    <n v="80"/>
    <n v="1"/>
    <n v="23"/>
    <n v="3"/>
    <n v="4"/>
    <n v="22"/>
    <n v="14"/>
    <n v="13"/>
    <n v="5"/>
    <n v="0"/>
    <x v="0"/>
  </r>
  <r>
    <n v="30"/>
    <x v="1"/>
    <s v="Travel_Rarely"/>
    <n v="1092"/>
    <x v="1"/>
    <n v="10"/>
    <x v="3"/>
    <x v="2"/>
    <n v="1"/>
    <n v="1816"/>
    <n v="1"/>
    <x v="0"/>
    <n v="64"/>
    <n v="3"/>
    <n v="3"/>
    <x v="3"/>
    <n v="3"/>
    <x v="0"/>
    <n v="9667"/>
    <n v="2739"/>
    <n v="9"/>
    <s v="Y"/>
    <s v="No"/>
    <n v="14"/>
    <n v="3"/>
    <n v="2"/>
    <n v="80"/>
    <n v="0"/>
    <n v="9"/>
    <n v="3"/>
    <n v="3"/>
    <n v="7"/>
    <n v="7"/>
    <n v="0"/>
    <n v="2"/>
    <n v="0"/>
    <x v="2"/>
  </r>
  <r>
    <n v="26"/>
    <x v="0"/>
    <s v="Travel_Rarely"/>
    <n v="920"/>
    <x v="2"/>
    <n v="20"/>
    <x v="0"/>
    <x v="2"/>
    <n v="1"/>
    <n v="1818"/>
    <n v="4"/>
    <x v="0"/>
    <n v="69"/>
    <n v="3"/>
    <n v="1"/>
    <x v="8"/>
    <n v="2"/>
    <x v="1"/>
    <n v="2148"/>
    <n v="6889"/>
    <n v="0"/>
    <s v="Y"/>
    <s v="Yes"/>
    <n v="11"/>
    <n v="3"/>
    <n v="3"/>
    <n v="80"/>
    <n v="0"/>
    <n v="6"/>
    <n v="3"/>
    <n v="3"/>
    <n v="5"/>
    <n v="1"/>
    <n v="1"/>
    <n v="4"/>
    <n v="1"/>
    <x v="2"/>
  </r>
  <r>
    <n v="46"/>
    <x v="0"/>
    <s v="Travel_Rarely"/>
    <n v="261"/>
    <x v="1"/>
    <n v="21"/>
    <x v="0"/>
    <x v="2"/>
    <n v="1"/>
    <n v="1821"/>
    <n v="4"/>
    <x v="0"/>
    <n v="66"/>
    <n v="3"/>
    <n v="2"/>
    <x v="4"/>
    <n v="2"/>
    <x v="1"/>
    <n v="8926"/>
    <n v="10842"/>
    <n v="4"/>
    <s v="Y"/>
    <s v="No"/>
    <n v="22"/>
    <n v="4"/>
    <n v="4"/>
    <n v="80"/>
    <n v="1"/>
    <n v="13"/>
    <n v="2"/>
    <n v="4"/>
    <n v="9"/>
    <n v="7"/>
    <n v="3"/>
    <n v="7"/>
    <n v="1"/>
    <x v="1"/>
  </r>
  <r>
    <n v="40"/>
    <x v="1"/>
    <s v="Travel_Rarely"/>
    <n v="1194"/>
    <x v="1"/>
    <n v="1"/>
    <x v="3"/>
    <x v="0"/>
    <n v="1"/>
    <n v="1822"/>
    <n v="3"/>
    <x v="0"/>
    <n v="52"/>
    <n v="3"/>
    <n v="2"/>
    <x v="4"/>
    <n v="4"/>
    <x v="2"/>
    <n v="6513"/>
    <n v="9060"/>
    <n v="4"/>
    <s v="Y"/>
    <s v="No"/>
    <n v="17"/>
    <n v="3"/>
    <n v="4"/>
    <n v="80"/>
    <n v="1"/>
    <n v="12"/>
    <n v="3"/>
    <n v="3"/>
    <n v="5"/>
    <n v="3"/>
    <n v="0"/>
    <n v="3"/>
    <n v="0"/>
    <x v="0"/>
  </r>
  <r>
    <n v="34"/>
    <x v="1"/>
    <s v="Travel_Rarely"/>
    <n v="810"/>
    <x v="0"/>
    <n v="8"/>
    <x v="0"/>
    <x v="4"/>
    <n v="1"/>
    <n v="1823"/>
    <n v="2"/>
    <x v="1"/>
    <n v="92"/>
    <n v="4"/>
    <n v="2"/>
    <x v="0"/>
    <n v="3"/>
    <x v="1"/>
    <n v="6799"/>
    <n v="22128"/>
    <n v="1"/>
    <s v="Y"/>
    <s v="No"/>
    <n v="21"/>
    <n v="4"/>
    <n v="3"/>
    <n v="80"/>
    <n v="2"/>
    <n v="10"/>
    <n v="5"/>
    <n v="3"/>
    <n v="10"/>
    <n v="8"/>
    <n v="4"/>
    <n v="8"/>
    <n v="0"/>
    <x v="2"/>
  </r>
  <r>
    <n v="58"/>
    <x v="1"/>
    <s v="Non-Travel"/>
    <n v="350"/>
    <x v="0"/>
    <n v="2"/>
    <x v="3"/>
    <x v="2"/>
    <n v="1"/>
    <n v="1824"/>
    <n v="2"/>
    <x v="1"/>
    <n v="52"/>
    <n v="3"/>
    <n v="4"/>
    <x v="5"/>
    <n v="2"/>
    <x v="2"/>
    <n v="16291"/>
    <n v="22577"/>
    <n v="4"/>
    <s v="Y"/>
    <s v="No"/>
    <n v="22"/>
    <n v="4"/>
    <n v="4"/>
    <n v="80"/>
    <n v="1"/>
    <n v="37"/>
    <n v="0"/>
    <n v="2"/>
    <n v="16"/>
    <n v="9"/>
    <n v="14"/>
    <n v="14"/>
    <n v="0"/>
    <x v="3"/>
  </r>
  <r>
    <n v="35"/>
    <x v="1"/>
    <s v="Travel_Rarely"/>
    <n v="185"/>
    <x v="1"/>
    <n v="23"/>
    <x v="2"/>
    <x v="2"/>
    <n v="1"/>
    <n v="1826"/>
    <n v="2"/>
    <x v="1"/>
    <n v="91"/>
    <n v="1"/>
    <n v="1"/>
    <x v="2"/>
    <n v="3"/>
    <x v="1"/>
    <n v="2705"/>
    <n v="9696"/>
    <n v="0"/>
    <s v="Y"/>
    <s v="No"/>
    <n v="16"/>
    <n v="3"/>
    <n v="2"/>
    <n v="80"/>
    <n v="1"/>
    <n v="6"/>
    <n v="2"/>
    <n v="4"/>
    <n v="5"/>
    <n v="4"/>
    <n v="0"/>
    <n v="3"/>
    <n v="0"/>
    <x v="0"/>
  </r>
  <r>
    <n v="47"/>
    <x v="1"/>
    <s v="Travel_Rarely"/>
    <n v="1001"/>
    <x v="1"/>
    <n v="4"/>
    <x v="3"/>
    <x v="0"/>
    <n v="1"/>
    <n v="1827"/>
    <n v="3"/>
    <x v="0"/>
    <n v="92"/>
    <n v="2"/>
    <n v="3"/>
    <x v="3"/>
    <n v="2"/>
    <x v="2"/>
    <n v="10333"/>
    <n v="19271"/>
    <n v="8"/>
    <s v="Y"/>
    <s v="Yes"/>
    <n v="12"/>
    <n v="3"/>
    <n v="3"/>
    <n v="80"/>
    <n v="1"/>
    <n v="28"/>
    <n v="4"/>
    <n v="3"/>
    <n v="22"/>
    <n v="11"/>
    <n v="14"/>
    <n v="10"/>
    <n v="0"/>
    <x v="1"/>
  </r>
  <r>
    <n v="40"/>
    <x v="1"/>
    <s v="Travel_Rarely"/>
    <n v="750"/>
    <x v="1"/>
    <n v="12"/>
    <x v="3"/>
    <x v="0"/>
    <n v="1"/>
    <n v="1829"/>
    <n v="2"/>
    <x v="0"/>
    <n v="47"/>
    <n v="3"/>
    <n v="2"/>
    <x v="4"/>
    <n v="1"/>
    <x v="2"/>
    <n v="4448"/>
    <n v="10748"/>
    <n v="2"/>
    <s v="Y"/>
    <s v="No"/>
    <n v="12"/>
    <n v="3"/>
    <n v="2"/>
    <n v="80"/>
    <n v="1"/>
    <n v="15"/>
    <n v="3"/>
    <n v="3"/>
    <n v="7"/>
    <n v="4"/>
    <n v="7"/>
    <n v="7"/>
    <n v="0"/>
    <x v="0"/>
  </r>
  <r>
    <n v="54"/>
    <x v="1"/>
    <s v="Travel_Rarely"/>
    <n v="431"/>
    <x v="1"/>
    <n v="7"/>
    <x v="2"/>
    <x v="2"/>
    <n v="1"/>
    <n v="1830"/>
    <n v="4"/>
    <x v="0"/>
    <n v="68"/>
    <n v="3"/>
    <n v="2"/>
    <x v="1"/>
    <n v="4"/>
    <x v="1"/>
    <n v="6854"/>
    <n v="15696"/>
    <n v="4"/>
    <s v="Y"/>
    <s v="No"/>
    <n v="15"/>
    <n v="3"/>
    <n v="2"/>
    <n v="80"/>
    <n v="1"/>
    <n v="14"/>
    <n v="2"/>
    <n v="2"/>
    <n v="7"/>
    <n v="1"/>
    <n v="1"/>
    <n v="7"/>
    <n v="0"/>
    <x v="1"/>
  </r>
  <r>
    <n v="31"/>
    <x v="1"/>
    <s v="Travel_Frequently"/>
    <n v="1125"/>
    <x v="0"/>
    <n v="7"/>
    <x v="2"/>
    <x v="3"/>
    <n v="1"/>
    <n v="1833"/>
    <n v="1"/>
    <x v="0"/>
    <n v="68"/>
    <n v="3"/>
    <n v="3"/>
    <x v="0"/>
    <n v="1"/>
    <x v="1"/>
    <n v="9637"/>
    <n v="8277"/>
    <n v="2"/>
    <s v="Y"/>
    <s v="No"/>
    <n v="14"/>
    <n v="3"/>
    <n v="4"/>
    <n v="80"/>
    <n v="2"/>
    <n v="9"/>
    <n v="3"/>
    <n v="3"/>
    <n v="3"/>
    <n v="2"/>
    <n v="2"/>
    <n v="2"/>
    <n v="0"/>
    <x v="2"/>
  </r>
  <r>
    <n v="28"/>
    <x v="1"/>
    <s v="Travel_Rarely"/>
    <n v="1217"/>
    <x v="1"/>
    <n v="1"/>
    <x v="3"/>
    <x v="2"/>
    <n v="1"/>
    <n v="1834"/>
    <n v="3"/>
    <x v="0"/>
    <n v="67"/>
    <n v="3"/>
    <n v="1"/>
    <x v="1"/>
    <n v="1"/>
    <x v="1"/>
    <n v="3591"/>
    <n v="12719"/>
    <n v="1"/>
    <s v="Y"/>
    <s v="No"/>
    <n v="25"/>
    <n v="4"/>
    <n v="3"/>
    <n v="80"/>
    <n v="1"/>
    <n v="3"/>
    <n v="3"/>
    <n v="3"/>
    <n v="3"/>
    <n v="2"/>
    <n v="1"/>
    <n v="2"/>
    <n v="0"/>
    <x v="2"/>
  </r>
  <r>
    <n v="38"/>
    <x v="1"/>
    <s v="Travel_Rarely"/>
    <n v="723"/>
    <x v="0"/>
    <n v="2"/>
    <x v="2"/>
    <x v="3"/>
    <n v="1"/>
    <n v="1835"/>
    <n v="2"/>
    <x v="0"/>
    <n v="77"/>
    <n v="1"/>
    <n v="2"/>
    <x v="6"/>
    <n v="4"/>
    <x v="1"/>
    <n v="5405"/>
    <n v="4244"/>
    <n v="2"/>
    <s v="Y"/>
    <s v="Yes"/>
    <n v="20"/>
    <n v="4"/>
    <n v="1"/>
    <n v="80"/>
    <n v="2"/>
    <n v="20"/>
    <n v="4"/>
    <n v="2"/>
    <n v="4"/>
    <n v="2"/>
    <n v="0"/>
    <n v="3"/>
    <n v="0"/>
    <x v="0"/>
  </r>
  <r>
    <n v="26"/>
    <x v="1"/>
    <s v="Travel_Rarely"/>
    <n v="572"/>
    <x v="0"/>
    <n v="10"/>
    <x v="3"/>
    <x v="2"/>
    <n v="1"/>
    <n v="1836"/>
    <n v="3"/>
    <x v="1"/>
    <n v="46"/>
    <n v="3"/>
    <n v="2"/>
    <x v="0"/>
    <n v="4"/>
    <x v="0"/>
    <n v="4684"/>
    <n v="9125"/>
    <n v="1"/>
    <s v="Y"/>
    <s v="No"/>
    <n v="13"/>
    <n v="3"/>
    <n v="1"/>
    <n v="80"/>
    <n v="0"/>
    <n v="5"/>
    <n v="4"/>
    <n v="3"/>
    <n v="5"/>
    <n v="3"/>
    <n v="1"/>
    <n v="2"/>
    <n v="0"/>
    <x v="2"/>
  </r>
  <r>
    <n v="58"/>
    <x v="1"/>
    <s v="Travel_Frequently"/>
    <n v="1216"/>
    <x v="1"/>
    <n v="15"/>
    <x v="2"/>
    <x v="0"/>
    <n v="1"/>
    <n v="1837"/>
    <n v="1"/>
    <x v="1"/>
    <n v="87"/>
    <n v="3"/>
    <n v="4"/>
    <x v="7"/>
    <n v="3"/>
    <x v="1"/>
    <n v="15787"/>
    <n v="21624"/>
    <n v="2"/>
    <s v="Y"/>
    <s v="Yes"/>
    <n v="14"/>
    <n v="3"/>
    <n v="2"/>
    <n v="80"/>
    <n v="0"/>
    <n v="23"/>
    <n v="3"/>
    <n v="3"/>
    <n v="2"/>
    <n v="2"/>
    <n v="2"/>
    <n v="2"/>
    <n v="0"/>
    <x v="3"/>
  </r>
  <r>
    <n v="18"/>
    <x v="1"/>
    <s v="Non-Travel"/>
    <n v="1431"/>
    <x v="1"/>
    <n v="14"/>
    <x v="3"/>
    <x v="2"/>
    <n v="1"/>
    <n v="1839"/>
    <n v="2"/>
    <x v="0"/>
    <n v="33"/>
    <n v="3"/>
    <n v="1"/>
    <x v="1"/>
    <n v="3"/>
    <x v="0"/>
    <n v="1514"/>
    <n v="8018"/>
    <n v="1"/>
    <s v="Y"/>
    <s v="No"/>
    <n v="16"/>
    <n v="3"/>
    <n v="3"/>
    <n v="80"/>
    <n v="0"/>
    <n v="0"/>
    <n v="4"/>
    <n v="1"/>
    <n v="0"/>
    <n v="0"/>
    <n v="0"/>
    <n v="0"/>
    <n v="0"/>
    <x v="4"/>
  </r>
  <r>
    <n v="31"/>
    <x v="0"/>
    <s v="Travel_Rarely"/>
    <n v="359"/>
    <x v="2"/>
    <n v="18"/>
    <x v="4"/>
    <x v="5"/>
    <n v="1"/>
    <n v="1842"/>
    <n v="4"/>
    <x v="1"/>
    <n v="89"/>
    <n v="4"/>
    <n v="1"/>
    <x v="8"/>
    <n v="1"/>
    <x v="1"/>
    <n v="2956"/>
    <n v="21495"/>
    <n v="0"/>
    <s v="Y"/>
    <s v="No"/>
    <n v="17"/>
    <n v="3"/>
    <n v="3"/>
    <n v="80"/>
    <n v="0"/>
    <n v="2"/>
    <n v="4"/>
    <n v="3"/>
    <n v="1"/>
    <n v="0"/>
    <n v="0"/>
    <n v="0"/>
    <n v="1"/>
    <x v="2"/>
  </r>
  <r>
    <n v="29"/>
    <x v="0"/>
    <s v="Travel_Rarely"/>
    <n v="350"/>
    <x v="2"/>
    <n v="13"/>
    <x v="3"/>
    <x v="5"/>
    <n v="1"/>
    <n v="1844"/>
    <n v="1"/>
    <x v="1"/>
    <n v="56"/>
    <n v="2"/>
    <n v="1"/>
    <x v="8"/>
    <n v="1"/>
    <x v="2"/>
    <n v="2335"/>
    <n v="3157"/>
    <n v="4"/>
    <s v="Y"/>
    <s v="Yes"/>
    <n v="15"/>
    <n v="3"/>
    <n v="4"/>
    <n v="80"/>
    <n v="3"/>
    <n v="4"/>
    <n v="3"/>
    <n v="3"/>
    <n v="2"/>
    <n v="2"/>
    <n v="2"/>
    <n v="0"/>
    <n v="1"/>
    <x v="2"/>
  </r>
  <r>
    <n v="45"/>
    <x v="1"/>
    <s v="Non-Travel"/>
    <n v="589"/>
    <x v="0"/>
    <n v="2"/>
    <x v="2"/>
    <x v="0"/>
    <n v="1"/>
    <n v="1845"/>
    <n v="3"/>
    <x v="0"/>
    <n v="67"/>
    <n v="3"/>
    <n v="2"/>
    <x v="0"/>
    <n v="3"/>
    <x v="1"/>
    <n v="5154"/>
    <n v="19665"/>
    <n v="4"/>
    <s v="Y"/>
    <s v="No"/>
    <n v="22"/>
    <n v="4"/>
    <n v="2"/>
    <n v="80"/>
    <n v="2"/>
    <n v="10"/>
    <n v="3"/>
    <n v="4"/>
    <n v="8"/>
    <n v="7"/>
    <n v="5"/>
    <n v="7"/>
    <n v="0"/>
    <x v="1"/>
  </r>
  <r>
    <n v="36"/>
    <x v="1"/>
    <s v="Travel_Rarely"/>
    <n v="430"/>
    <x v="1"/>
    <n v="2"/>
    <x v="2"/>
    <x v="1"/>
    <n v="1"/>
    <n v="1847"/>
    <n v="4"/>
    <x v="0"/>
    <n v="73"/>
    <n v="3"/>
    <n v="2"/>
    <x v="1"/>
    <n v="2"/>
    <x v="1"/>
    <n v="6962"/>
    <n v="19573"/>
    <n v="4"/>
    <s v="Y"/>
    <s v="Yes"/>
    <n v="22"/>
    <n v="4"/>
    <n v="4"/>
    <n v="80"/>
    <n v="1"/>
    <n v="15"/>
    <n v="2"/>
    <n v="3"/>
    <n v="1"/>
    <n v="0"/>
    <n v="0"/>
    <n v="0"/>
    <n v="0"/>
    <x v="0"/>
  </r>
  <r>
    <n v="43"/>
    <x v="1"/>
    <s v="Travel_Frequently"/>
    <n v="1422"/>
    <x v="0"/>
    <n v="2"/>
    <x v="2"/>
    <x v="0"/>
    <n v="1"/>
    <n v="1849"/>
    <n v="1"/>
    <x v="1"/>
    <n v="92"/>
    <n v="3"/>
    <n v="2"/>
    <x v="0"/>
    <n v="4"/>
    <x v="1"/>
    <n v="5675"/>
    <n v="19246"/>
    <n v="1"/>
    <s v="Y"/>
    <s v="No"/>
    <n v="20"/>
    <n v="4"/>
    <n v="3"/>
    <n v="80"/>
    <n v="1"/>
    <n v="7"/>
    <n v="5"/>
    <n v="3"/>
    <n v="7"/>
    <n v="7"/>
    <n v="7"/>
    <n v="7"/>
    <n v="0"/>
    <x v="0"/>
  </r>
  <r>
    <n v="27"/>
    <x v="1"/>
    <s v="Travel_Frequently"/>
    <n v="1297"/>
    <x v="1"/>
    <n v="5"/>
    <x v="0"/>
    <x v="0"/>
    <n v="1"/>
    <n v="1850"/>
    <n v="4"/>
    <x v="0"/>
    <n v="53"/>
    <n v="3"/>
    <n v="1"/>
    <x v="2"/>
    <n v="4"/>
    <x v="0"/>
    <n v="2379"/>
    <n v="19826"/>
    <n v="0"/>
    <s v="Y"/>
    <s v="Yes"/>
    <n v="14"/>
    <n v="3"/>
    <n v="3"/>
    <n v="80"/>
    <n v="0"/>
    <n v="6"/>
    <n v="3"/>
    <n v="2"/>
    <n v="5"/>
    <n v="4"/>
    <n v="0"/>
    <n v="2"/>
    <n v="0"/>
    <x v="2"/>
  </r>
  <r>
    <n v="29"/>
    <x v="1"/>
    <s v="Travel_Frequently"/>
    <n v="574"/>
    <x v="1"/>
    <n v="20"/>
    <x v="1"/>
    <x v="2"/>
    <n v="1"/>
    <n v="1852"/>
    <n v="4"/>
    <x v="1"/>
    <n v="40"/>
    <n v="3"/>
    <n v="1"/>
    <x v="2"/>
    <n v="4"/>
    <x v="1"/>
    <n v="3812"/>
    <n v="7003"/>
    <n v="1"/>
    <s v="Y"/>
    <s v="No"/>
    <n v="13"/>
    <n v="3"/>
    <n v="2"/>
    <n v="80"/>
    <n v="0"/>
    <n v="11"/>
    <n v="3"/>
    <n v="4"/>
    <n v="11"/>
    <n v="8"/>
    <n v="3"/>
    <n v="10"/>
    <n v="0"/>
    <x v="2"/>
  </r>
  <r>
    <n v="32"/>
    <x v="1"/>
    <s v="Travel_Frequently"/>
    <n v="1318"/>
    <x v="0"/>
    <n v="10"/>
    <x v="2"/>
    <x v="3"/>
    <n v="1"/>
    <n v="1853"/>
    <n v="4"/>
    <x v="1"/>
    <n v="79"/>
    <n v="3"/>
    <n v="2"/>
    <x v="0"/>
    <n v="4"/>
    <x v="0"/>
    <n v="4648"/>
    <n v="26075"/>
    <n v="8"/>
    <s v="Y"/>
    <s v="No"/>
    <n v="13"/>
    <n v="3"/>
    <n v="3"/>
    <n v="80"/>
    <n v="0"/>
    <n v="4"/>
    <n v="2"/>
    <n v="4"/>
    <n v="0"/>
    <n v="0"/>
    <n v="0"/>
    <n v="0"/>
    <n v="0"/>
    <x v="2"/>
  </r>
  <r>
    <n v="42"/>
    <x v="1"/>
    <s v="Non-Travel"/>
    <n v="355"/>
    <x v="1"/>
    <n v="10"/>
    <x v="2"/>
    <x v="4"/>
    <n v="1"/>
    <n v="1854"/>
    <n v="3"/>
    <x v="1"/>
    <n v="38"/>
    <n v="3"/>
    <n v="1"/>
    <x v="1"/>
    <n v="3"/>
    <x v="1"/>
    <n v="2936"/>
    <n v="6161"/>
    <n v="3"/>
    <s v="Y"/>
    <s v="No"/>
    <n v="22"/>
    <n v="4"/>
    <n v="2"/>
    <n v="80"/>
    <n v="2"/>
    <n v="10"/>
    <n v="1"/>
    <n v="2"/>
    <n v="6"/>
    <n v="3"/>
    <n v="3"/>
    <n v="3"/>
    <n v="0"/>
    <x v="0"/>
  </r>
  <r>
    <n v="47"/>
    <x v="1"/>
    <s v="Travel_Rarely"/>
    <n v="207"/>
    <x v="1"/>
    <n v="9"/>
    <x v="2"/>
    <x v="0"/>
    <n v="1"/>
    <n v="1856"/>
    <n v="2"/>
    <x v="0"/>
    <n v="64"/>
    <n v="3"/>
    <n v="1"/>
    <x v="2"/>
    <n v="3"/>
    <x v="0"/>
    <n v="2105"/>
    <n v="5411"/>
    <n v="4"/>
    <s v="Y"/>
    <s v="No"/>
    <n v="12"/>
    <n v="3"/>
    <n v="3"/>
    <n v="80"/>
    <n v="0"/>
    <n v="7"/>
    <n v="2"/>
    <n v="3"/>
    <n v="2"/>
    <n v="2"/>
    <n v="2"/>
    <n v="0"/>
    <n v="0"/>
    <x v="1"/>
  </r>
  <r>
    <n v="46"/>
    <x v="1"/>
    <s v="Travel_Rarely"/>
    <n v="706"/>
    <x v="1"/>
    <n v="2"/>
    <x v="0"/>
    <x v="0"/>
    <n v="1"/>
    <n v="1857"/>
    <n v="4"/>
    <x v="1"/>
    <n v="82"/>
    <n v="3"/>
    <n v="3"/>
    <x v="3"/>
    <n v="4"/>
    <x v="2"/>
    <n v="8578"/>
    <n v="19989"/>
    <n v="3"/>
    <s v="Y"/>
    <s v="No"/>
    <n v="14"/>
    <n v="3"/>
    <n v="3"/>
    <n v="80"/>
    <n v="1"/>
    <n v="12"/>
    <n v="4"/>
    <n v="2"/>
    <n v="9"/>
    <n v="8"/>
    <n v="4"/>
    <n v="7"/>
    <n v="0"/>
    <x v="1"/>
  </r>
  <r>
    <n v="28"/>
    <x v="1"/>
    <s v="Non-Travel"/>
    <n v="280"/>
    <x v="2"/>
    <n v="1"/>
    <x v="0"/>
    <x v="0"/>
    <n v="1"/>
    <n v="1858"/>
    <n v="3"/>
    <x v="1"/>
    <n v="43"/>
    <n v="3"/>
    <n v="1"/>
    <x v="8"/>
    <n v="4"/>
    <x v="2"/>
    <n v="2706"/>
    <n v="10494"/>
    <n v="1"/>
    <s v="Y"/>
    <s v="No"/>
    <n v="15"/>
    <n v="3"/>
    <n v="2"/>
    <n v="80"/>
    <n v="1"/>
    <n v="3"/>
    <n v="2"/>
    <n v="3"/>
    <n v="3"/>
    <n v="2"/>
    <n v="2"/>
    <n v="2"/>
    <n v="0"/>
    <x v="2"/>
  </r>
  <r>
    <n v="29"/>
    <x v="1"/>
    <s v="Travel_Rarely"/>
    <n v="726"/>
    <x v="1"/>
    <n v="29"/>
    <x v="1"/>
    <x v="0"/>
    <n v="1"/>
    <n v="1859"/>
    <n v="4"/>
    <x v="1"/>
    <n v="93"/>
    <n v="1"/>
    <n v="2"/>
    <x v="4"/>
    <n v="3"/>
    <x v="2"/>
    <n v="6384"/>
    <n v="21143"/>
    <n v="8"/>
    <s v="Y"/>
    <s v="No"/>
    <n v="17"/>
    <n v="3"/>
    <n v="4"/>
    <n v="80"/>
    <n v="2"/>
    <n v="11"/>
    <n v="3"/>
    <n v="3"/>
    <n v="7"/>
    <n v="0"/>
    <n v="1"/>
    <n v="6"/>
    <n v="0"/>
    <x v="2"/>
  </r>
  <r>
    <n v="42"/>
    <x v="1"/>
    <s v="Travel_Rarely"/>
    <n v="1142"/>
    <x v="1"/>
    <n v="8"/>
    <x v="3"/>
    <x v="0"/>
    <n v="1"/>
    <n v="1860"/>
    <n v="4"/>
    <x v="1"/>
    <n v="81"/>
    <n v="3"/>
    <n v="1"/>
    <x v="2"/>
    <n v="3"/>
    <x v="0"/>
    <n v="3968"/>
    <n v="13624"/>
    <n v="4"/>
    <s v="Y"/>
    <s v="No"/>
    <n v="13"/>
    <n v="3"/>
    <n v="4"/>
    <n v="80"/>
    <n v="0"/>
    <n v="8"/>
    <n v="3"/>
    <n v="3"/>
    <n v="0"/>
    <n v="0"/>
    <n v="0"/>
    <n v="0"/>
    <n v="0"/>
    <x v="0"/>
  </r>
  <r>
    <n v="32"/>
    <x v="0"/>
    <s v="Travel_Rarely"/>
    <n v="414"/>
    <x v="0"/>
    <n v="2"/>
    <x v="2"/>
    <x v="3"/>
    <n v="1"/>
    <n v="1862"/>
    <n v="3"/>
    <x v="1"/>
    <n v="82"/>
    <n v="2"/>
    <n v="2"/>
    <x v="0"/>
    <n v="2"/>
    <x v="0"/>
    <n v="9907"/>
    <n v="26186"/>
    <n v="7"/>
    <s v="Y"/>
    <s v="Yes"/>
    <n v="12"/>
    <n v="3"/>
    <n v="3"/>
    <n v="80"/>
    <n v="0"/>
    <n v="7"/>
    <n v="3"/>
    <n v="2"/>
    <n v="2"/>
    <n v="2"/>
    <n v="2"/>
    <n v="2"/>
    <n v="1"/>
    <x v="2"/>
  </r>
  <r>
    <n v="46"/>
    <x v="1"/>
    <s v="Travel_Rarely"/>
    <n v="1319"/>
    <x v="0"/>
    <n v="3"/>
    <x v="3"/>
    <x v="4"/>
    <n v="1"/>
    <n v="1863"/>
    <n v="1"/>
    <x v="0"/>
    <n v="45"/>
    <n v="4"/>
    <n v="4"/>
    <x v="0"/>
    <n v="1"/>
    <x v="2"/>
    <n v="13225"/>
    <n v="7739"/>
    <n v="2"/>
    <s v="Y"/>
    <s v="No"/>
    <n v="12"/>
    <n v="3"/>
    <n v="4"/>
    <n v="80"/>
    <n v="1"/>
    <n v="25"/>
    <n v="5"/>
    <n v="3"/>
    <n v="19"/>
    <n v="17"/>
    <n v="2"/>
    <n v="8"/>
    <n v="0"/>
    <x v="1"/>
  </r>
  <r>
    <n v="27"/>
    <x v="1"/>
    <s v="Travel_Rarely"/>
    <n v="728"/>
    <x v="0"/>
    <n v="23"/>
    <x v="1"/>
    <x v="2"/>
    <n v="1"/>
    <n v="1864"/>
    <n v="2"/>
    <x v="0"/>
    <n v="36"/>
    <n v="2"/>
    <n v="2"/>
    <x v="6"/>
    <n v="3"/>
    <x v="1"/>
    <n v="3540"/>
    <n v="7018"/>
    <n v="1"/>
    <s v="Y"/>
    <s v="No"/>
    <n v="21"/>
    <n v="4"/>
    <n v="4"/>
    <n v="80"/>
    <n v="1"/>
    <n v="9"/>
    <n v="5"/>
    <n v="3"/>
    <n v="9"/>
    <n v="8"/>
    <n v="5"/>
    <n v="8"/>
    <n v="0"/>
    <x v="2"/>
  </r>
  <r>
    <n v="29"/>
    <x v="1"/>
    <s v="Travel_Rarely"/>
    <n v="352"/>
    <x v="2"/>
    <n v="6"/>
    <x v="1"/>
    <x v="2"/>
    <n v="1"/>
    <n v="1865"/>
    <n v="4"/>
    <x v="1"/>
    <n v="87"/>
    <n v="2"/>
    <n v="1"/>
    <x v="8"/>
    <n v="2"/>
    <x v="1"/>
    <n v="2804"/>
    <n v="15434"/>
    <n v="1"/>
    <s v="Y"/>
    <s v="No"/>
    <n v="11"/>
    <n v="3"/>
    <n v="4"/>
    <n v="80"/>
    <n v="0"/>
    <n v="1"/>
    <n v="3"/>
    <n v="3"/>
    <n v="1"/>
    <n v="0"/>
    <n v="0"/>
    <n v="0"/>
    <n v="0"/>
    <x v="2"/>
  </r>
  <r>
    <n v="43"/>
    <x v="1"/>
    <s v="Travel_Rarely"/>
    <n v="823"/>
    <x v="1"/>
    <n v="6"/>
    <x v="3"/>
    <x v="2"/>
    <n v="1"/>
    <n v="1866"/>
    <n v="1"/>
    <x v="0"/>
    <n v="81"/>
    <n v="2"/>
    <n v="5"/>
    <x v="5"/>
    <n v="3"/>
    <x v="1"/>
    <n v="19392"/>
    <n v="22539"/>
    <n v="7"/>
    <s v="Y"/>
    <s v="No"/>
    <n v="13"/>
    <n v="3"/>
    <n v="4"/>
    <n v="80"/>
    <n v="0"/>
    <n v="21"/>
    <n v="2"/>
    <n v="3"/>
    <n v="16"/>
    <n v="12"/>
    <n v="6"/>
    <n v="14"/>
    <n v="0"/>
    <x v="0"/>
  </r>
  <r>
    <n v="48"/>
    <x v="1"/>
    <s v="Travel_Rarely"/>
    <n v="1224"/>
    <x v="1"/>
    <n v="10"/>
    <x v="3"/>
    <x v="0"/>
    <n v="1"/>
    <n v="1867"/>
    <n v="4"/>
    <x v="1"/>
    <n v="91"/>
    <n v="2"/>
    <n v="5"/>
    <x v="7"/>
    <n v="2"/>
    <x v="1"/>
    <n v="19665"/>
    <n v="13583"/>
    <n v="4"/>
    <s v="Y"/>
    <s v="No"/>
    <n v="12"/>
    <n v="3"/>
    <n v="4"/>
    <n v="80"/>
    <n v="0"/>
    <n v="29"/>
    <n v="3"/>
    <n v="3"/>
    <n v="22"/>
    <n v="10"/>
    <n v="12"/>
    <n v="9"/>
    <n v="0"/>
    <x v="1"/>
  </r>
  <r>
    <n v="29"/>
    <x v="0"/>
    <s v="Travel_Frequently"/>
    <n v="459"/>
    <x v="1"/>
    <n v="24"/>
    <x v="0"/>
    <x v="0"/>
    <n v="1"/>
    <n v="1868"/>
    <n v="4"/>
    <x v="1"/>
    <n v="73"/>
    <n v="2"/>
    <n v="1"/>
    <x v="1"/>
    <n v="4"/>
    <x v="0"/>
    <n v="2439"/>
    <n v="14753"/>
    <n v="1"/>
    <s v="Y"/>
    <s v="Yes"/>
    <n v="24"/>
    <n v="4"/>
    <n v="2"/>
    <n v="80"/>
    <n v="0"/>
    <n v="1"/>
    <n v="3"/>
    <n v="2"/>
    <n v="1"/>
    <n v="0"/>
    <n v="1"/>
    <n v="0"/>
    <n v="1"/>
    <x v="2"/>
  </r>
  <r>
    <n v="46"/>
    <x v="0"/>
    <s v="Travel_Rarely"/>
    <n v="1254"/>
    <x v="0"/>
    <n v="10"/>
    <x v="3"/>
    <x v="0"/>
    <n v="1"/>
    <n v="1869"/>
    <n v="3"/>
    <x v="0"/>
    <n v="64"/>
    <n v="3"/>
    <n v="3"/>
    <x v="0"/>
    <n v="2"/>
    <x v="1"/>
    <n v="7314"/>
    <n v="14011"/>
    <n v="5"/>
    <s v="Y"/>
    <s v="No"/>
    <n v="21"/>
    <n v="4"/>
    <n v="3"/>
    <n v="80"/>
    <n v="3"/>
    <n v="14"/>
    <n v="2"/>
    <n v="3"/>
    <n v="8"/>
    <n v="7"/>
    <n v="0"/>
    <n v="7"/>
    <n v="1"/>
    <x v="1"/>
  </r>
  <r>
    <n v="27"/>
    <x v="1"/>
    <s v="Travel_Frequently"/>
    <n v="1131"/>
    <x v="1"/>
    <n v="15"/>
    <x v="3"/>
    <x v="0"/>
    <n v="1"/>
    <n v="1870"/>
    <n v="4"/>
    <x v="0"/>
    <n v="77"/>
    <n v="2"/>
    <n v="1"/>
    <x v="1"/>
    <n v="1"/>
    <x v="1"/>
    <n v="4774"/>
    <n v="23844"/>
    <n v="0"/>
    <s v="Y"/>
    <s v="No"/>
    <n v="19"/>
    <n v="3"/>
    <n v="4"/>
    <n v="80"/>
    <n v="1"/>
    <n v="8"/>
    <n v="2"/>
    <n v="2"/>
    <n v="7"/>
    <n v="6"/>
    <n v="7"/>
    <n v="3"/>
    <n v="0"/>
    <x v="2"/>
  </r>
  <r>
    <n v="39"/>
    <x v="1"/>
    <s v="Travel_Rarely"/>
    <n v="835"/>
    <x v="1"/>
    <n v="19"/>
    <x v="2"/>
    <x v="1"/>
    <n v="1"/>
    <n v="1871"/>
    <n v="4"/>
    <x v="1"/>
    <n v="41"/>
    <n v="3"/>
    <n v="2"/>
    <x v="1"/>
    <n v="4"/>
    <x v="2"/>
    <n v="3902"/>
    <n v="5141"/>
    <n v="8"/>
    <s v="Y"/>
    <s v="No"/>
    <n v="14"/>
    <n v="3"/>
    <n v="2"/>
    <n v="80"/>
    <n v="3"/>
    <n v="7"/>
    <n v="2"/>
    <n v="3"/>
    <n v="2"/>
    <n v="2"/>
    <n v="2"/>
    <n v="2"/>
    <n v="0"/>
    <x v="0"/>
  </r>
  <r>
    <n v="55"/>
    <x v="1"/>
    <s v="Travel_Rarely"/>
    <n v="836"/>
    <x v="1"/>
    <n v="2"/>
    <x v="2"/>
    <x v="4"/>
    <n v="1"/>
    <n v="1873"/>
    <n v="2"/>
    <x v="1"/>
    <n v="98"/>
    <n v="2"/>
    <n v="1"/>
    <x v="1"/>
    <n v="4"/>
    <x v="1"/>
    <n v="2662"/>
    <n v="7975"/>
    <n v="8"/>
    <s v="Y"/>
    <s v="No"/>
    <n v="20"/>
    <n v="4"/>
    <n v="2"/>
    <n v="80"/>
    <n v="1"/>
    <n v="19"/>
    <n v="2"/>
    <n v="4"/>
    <n v="5"/>
    <n v="2"/>
    <n v="0"/>
    <n v="4"/>
    <n v="0"/>
    <x v="3"/>
  </r>
  <r>
    <n v="28"/>
    <x v="1"/>
    <s v="Travel_Rarely"/>
    <n v="1172"/>
    <x v="0"/>
    <n v="3"/>
    <x v="3"/>
    <x v="2"/>
    <n v="1"/>
    <n v="1875"/>
    <n v="2"/>
    <x v="0"/>
    <n v="78"/>
    <n v="3"/>
    <n v="1"/>
    <x v="6"/>
    <n v="2"/>
    <x v="1"/>
    <n v="2856"/>
    <n v="3692"/>
    <n v="1"/>
    <s v="Y"/>
    <s v="No"/>
    <n v="19"/>
    <n v="3"/>
    <n v="4"/>
    <n v="80"/>
    <n v="1"/>
    <n v="1"/>
    <n v="3"/>
    <n v="3"/>
    <n v="1"/>
    <n v="0"/>
    <n v="0"/>
    <n v="0"/>
    <n v="0"/>
    <x v="2"/>
  </r>
  <r>
    <n v="30"/>
    <x v="0"/>
    <s v="Travel_Rarely"/>
    <n v="945"/>
    <x v="0"/>
    <n v="9"/>
    <x v="3"/>
    <x v="2"/>
    <n v="1"/>
    <n v="1876"/>
    <n v="2"/>
    <x v="1"/>
    <n v="89"/>
    <n v="3"/>
    <n v="1"/>
    <x v="6"/>
    <n v="4"/>
    <x v="0"/>
    <n v="1081"/>
    <n v="16019"/>
    <n v="1"/>
    <s v="Y"/>
    <s v="No"/>
    <n v="13"/>
    <n v="3"/>
    <n v="3"/>
    <n v="80"/>
    <n v="0"/>
    <n v="1"/>
    <n v="3"/>
    <n v="2"/>
    <n v="1"/>
    <n v="0"/>
    <n v="0"/>
    <n v="0"/>
    <n v="1"/>
    <x v="2"/>
  </r>
  <r>
    <n v="22"/>
    <x v="0"/>
    <s v="Travel_Rarely"/>
    <n v="391"/>
    <x v="1"/>
    <n v="7"/>
    <x v="1"/>
    <x v="0"/>
    <n v="1"/>
    <n v="1878"/>
    <n v="4"/>
    <x v="1"/>
    <n v="75"/>
    <n v="3"/>
    <n v="1"/>
    <x v="1"/>
    <n v="2"/>
    <x v="0"/>
    <n v="2472"/>
    <n v="26092"/>
    <n v="1"/>
    <s v="Y"/>
    <s v="Yes"/>
    <n v="23"/>
    <n v="4"/>
    <n v="1"/>
    <n v="80"/>
    <n v="0"/>
    <n v="1"/>
    <n v="2"/>
    <n v="3"/>
    <n v="1"/>
    <n v="0"/>
    <n v="0"/>
    <n v="0"/>
    <n v="1"/>
    <x v="4"/>
  </r>
  <r>
    <n v="36"/>
    <x v="1"/>
    <s v="Travel_Rarely"/>
    <n v="1266"/>
    <x v="0"/>
    <n v="10"/>
    <x v="2"/>
    <x v="4"/>
    <n v="1"/>
    <n v="1880"/>
    <n v="2"/>
    <x v="0"/>
    <n v="63"/>
    <n v="2"/>
    <n v="2"/>
    <x v="0"/>
    <n v="3"/>
    <x v="1"/>
    <n v="5673"/>
    <n v="6060"/>
    <n v="1"/>
    <s v="Y"/>
    <s v="Yes"/>
    <n v="13"/>
    <n v="3"/>
    <n v="1"/>
    <n v="80"/>
    <n v="1"/>
    <n v="10"/>
    <n v="4"/>
    <n v="3"/>
    <n v="10"/>
    <n v="9"/>
    <n v="1"/>
    <n v="7"/>
    <n v="0"/>
    <x v="0"/>
  </r>
  <r>
    <n v="31"/>
    <x v="1"/>
    <s v="Travel_Rarely"/>
    <n v="311"/>
    <x v="1"/>
    <n v="20"/>
    <x v="3"/>
    <x v="0"/>
    <n v="1"/>
    <n v="1881"/>
    <n v="2"/>
    <x v="1"/>
    <n v="89"/>
    <n v="3"/>
    <n v="2"/>
    <x v="2"/>
    <n v="3"/>
    <x v="2"/>
    <n v="4197"/>
    <n v="18624"/>
    <n v="1"/>
    <s v="Y"/>
    <s v="No"/>
    <n v="11"/>
    <n v="3"/>
    <n v="1"/>
    <n v="80"/>
    <n v="1"/>
    <n v="10"/>
    <n v="2"/>
    <n v="3"/>
    <n v="10"/>
    <n v="8"/>
    <n v="0"/>
    <n v="2"/>
    <n v="0"/>
    <x v="2"/>
  </r>
  <r>
    <n v="34"/>
    <x v="1"/>
    <s v="Travel_Rarely"/>
    <n v="1480"/>
    <x v="0"/>
    <n v="4"/>
    <x v="3"/>
    <x v="0"/>
    <n v="1"/>
    <n v="1882"/>
    <n v="3"/>
    <x v="1"/>
    <n v="64"/>
    <n v="3"/>
    <n v="3"/>
    <x v="0"/>
    <n v="4"/>
    <x v="1"/>
    <n v="9713"/>
    <n v="24444"/>
    <n v="2"/>
    <s v="Y"/>
    <s v="Yes"/>
    <n v="13"/>
    <n v="3"/>
    <n v="4"/>
    <n v="80"/>
    <n v="3"/>
    <n v="9"/>
    <n v="3"/>
    <n v="3"/>
    <n v="5"/>
    <n v="3"/>
    <n v="1"/>
    <n v="0"/>
    <n v="0"/>
    <x v="2"/>
  </r>
  <r>
    <n v="29"/>
    <x v="1"/>
    <s v="Travel_Rarely"/>
    <n v="592"/>
    <x v="1"/>
    <n v="7"/>
    <x v="3"/>
    <x v="0"/>
    <n v="1"/>
    <n v="1883"/>
    <n v="4"/>
    <x v="1"/>
    <n v="59"/>
    <n v="3"/>
    <n v="1"/>
    <x v="2"/>
    <n v="1"/>
    <x v="0"/>
    <n v="2062"/>
    <n v="19384"/>
    <n v="3"/>
    <s v="Y"/>
    <s v="No"/>
    <n v="14"/>
    <n v="3"/>
    <n v="2"/>
    <n v="80"/>
    <n v="0"/>
    <n v="11"/>
    <n v="2"/>
    <n v="3"/>
    <n v="3"/>
    <n v="2"/>
    <n v="1"/>
    <n v="2"/>
    <n v="0"/>
    <x v="2"/>
  </r>
  <r>
    <n v="37"/>
    <x v="1"/>
    <s v="Travel_Rarely"/>
    <n v="783"/>
    <x v="1"/>
    <n v="7"/>
    <x v="2"/>
    <x v="2"/>
    <n v="1"/>
    <n v="1885"/>
    <n v="4"/>
    <x v="1"/>
    <n v="78"/>
    <n v="3"/>
    <n v="2"/>
    <x v="1"/>
    <n v="1"/>
    <x v="1"/>
    <n v="4284"/>
    <n v="13588"/>
    <n v="5"/>
    <s v="Y"/>
    <s v="Yes"/>
    <n v="22"/>
    <n v="4"/>
    <n v="3"/>
    <n v="80"/>
    <n v="1"/>
    <n v="16"/>
    <n v="2"/>
    <n v="3"/>
    <n v="5"/>
    <n v="3"/>
    <n v="0"/>
    <n v="4"/>
    <n v="0"/>
    <x v="0"/>
  </r>
  <r>
    <n v="35"/>
    <x v="1"/>
    <s v="Travel_Rarely"/>
    <n v="219"/>
    <x v="1"/>
    <n v="16"/>
    <x v="0"/>
    <x v="1"/>
    <n v="1"/>
    <n v="1886"/>
    <n v="4"/>
    <x v="0"/>
    <n v="44"/>
    <n v="2"/>
    <n v="2"/>
    <x v="3"/>
    <n v="2"/>
    <x v="1"/>
    <n v="4788"/>
    <n v="25388"/>
    <n v="0"/>
    <s v="Y"/>
    <s v="Yes"/>
    <n v="11"/>
    <n v="3"/>
    <n v="4"/>
    <n v="80"/>
    <n v="0"/>
    <n v="4"/>
    <n v="2"/>
    <n v="3"/>
    <n v="3"/>
    <n v="2"/>
    <n v="0"/>
    <n v="2"/>
    <n v="0"/>
    <x v="0"/>
  </r>
  <r>
    <n v="45"/>
    <x v="1"/>
    <s v="Travel_Rarely"/>
    <n v="556"/>
    <x v="1"/>
    <n v="25"/>
    <x v="0"/>
    <x v="0"/>
    <n v="1"/>
    <n v="1888"/>
    <n v="2"/>
    <x v="0"/>
    <n v="93"/>
    <n v="2"/>
    <n v="2"/>
    <x v="3"/>
    <n v="4"/>
    <x v="1"/>
    <n v="5906"/>
    <n v="23888"/>
    <n v="0"/>
    <s v="Y"/>
    <s v="No"/>
    <n v="13"/>
    <n v="3"/>
    <n v="4"/>
    <n v="80"/>
    <n v="2"/>
    <n v="10"/>
    <n v="2"/>
    <n v="2"/>
    <n v="9"/>
    <n v="8"/>
    <n v="3"/>
    <n v="8"/>
    <n v="0"/>
    <x v="1"/>
  </r>
  <r>
    <n v="36"/>
    <x v="1"/>
    <s v="Travel_Frequently"/>
    <n v="1213"/>
    <x v="2"/>
    <n v="2"/>
    <x v="1"/>
    <x v="5"/>
    <n v="1"/>
    <n v="1890"/>
    <n v="2"/>
    <x v="1"/>
    <n v="94"/>
    <n v="2"/>
    <n v="2"/>
    <x v="8"/>
    <n v="4"/>
    <x v="0"/>
    <n v="3886"/>
    <n v="4223"/>
    <n v="1"/>
    <s v="Y"/>
    <s v="No"/>
    <n v="21"/>
    <n v="4"/>
    <n v="4"/>
    <n v="80"/>
    <n v="0"/>
    <n v="10"/>
    <n v="2"/>
    <n v="2"/>
    <n v="10"/>
    <n v="1"/>
    <n v="0"/>
    <n v="8"/>
    <n v="0"/>
    <x v="0"/>
  </r>
  <r>
    <n v="40"/>
    <x v="1"/>
    <s v="Travel_Rarely"/>
    <n v="1137"/>
    <x v="1"/>
    <n v="1"/>
    <x v="2"/>
    <x v="0"/>
    <n v="1"/>
    <n v="1892"/>
    <n v="1"/>
    <x v="1"/>
    <n v="98"/>
    <n v="3"/>
    <n v="4"/>
    <x v="5"/>
    <n v="1"/>
    <x v="2"/>
    <n v="16823"/>
    <n v="18991"/>
    <n v="2"/>
    <s v="Y"/>
    <s v="No"/>
    <n v="11"/>
    <n v="3"/>
    <n v="1"/>
    <n v="80"/>
    <n v="1"/>
    <n v="22"/>
    <n v="3"/>
    <n v="3"/>
    <n v="19"/>
    <n v="7"/>
    <n v="11"/>
    <n v="16"/>
    <n v="0"/>
    <x v="0"/>
  </r>
  <r>
    <n v="26"/>
    <x v="1"/>
    <s v="Travel_Rarely"/>
    <n v="482"/>
    <x v="1"/>
    <n v="1"/>
    <x v="0"/>
    <x v="0"/>
    <n v="1"/>
    <n v="1893"/>
    <n v="2"/>
    <x v="0"/>
    <n v="90"/>
    <n v="2"/>
    <n v="1"/>
    <x v="1"/>
    <n v="3"/>
    <x v="1"/>
    <n v="2933"/>
    <n v="14908"/>
    <n v="1"/>
    <s v="Y"/>
    <s v="Yes"/>
    <n v="13"/>
    <n v="3"/>
    <n v="3"/>
    <n v="80"/>
    <n v="1"/>
    <n v="1"/>
    <n v="3"/>
    <n v="2"/>
    <n v="1"/>
    <n v="0"/>
    <n v="1"/>
    <n v="0"/>
    <n v="0"/>
    <x v="2"/>
  </r>
  <r>
    <n v="27"/>
    <x v="1"/>
    <s v="Travel_Rarely"/>
    <n v="511"/>
    <x v="0"/>
    <n v="2"/>
    <x v="0"/>
    <x v="2"/>
    <n v="1"/>
    <n v="1898"/>
    <n v="1"/>
    <x v="0"/>
    <n v="89"/>
    <n v="4"/>
    <n v="2"/>
    <x v="0"/>
    <n v="3"/>
    <x v="0"/>
    <n v="6500"/>
    <n v="26997"/>
    <n v="0"/>
    <s v="Y"/>
    <s v="No"/>
    <n v="14"/>
    <n v="3"/>
    <n v="2"/>
    <n v="80"/>
    <n v="0"/>
    <n v="9"/>
    <n v="5"/>
    <n v="2"/>
    <n v="8"/>
    <n v="7"/>
    <n v="0"/>
    <n v="7"/>
    <n v="0"/>
    <x v="2"/>
  </r>
  <r>
    <n v="48"/>
    <x v="1"/>
    <s v="Travel_Frequently"/>
    <n v="117"/>
    <x v="1"/>
    <n v="22"/>
    <x v="3"/>
    <x v="2"/>
    <n v="1"/>
    <n v="1900"/>
    <n v="4"/>
    <x v="0"/>
    <n v="58"/>
    <n v="3"/>
    <n v="4"/>
    <x v="5"/>
    <n v="4"/>
    <x v="2"/>
    <n v="17174"/>
    <n v="2437"/>
    <n v="3"/>
    <s v="Y"/>
    <s v="No"/>
    <n v="11"/>
    <n v="3"/>
    <n v="2"/>
    <n v="80"/>
    <n v="1"/>
    <n v="24"/>
    <n v="3"/>
    <n v="3"/>
    <n v="22"/>
    <n v="17"/>
    <n v="4"/>
    <n v="7"/>
    <n v="0"/>
    <x v="1"/>
  </r>
  <r>
    <n v="44"/>
    <x v="1"/>
    <s v="Travel_Rarely"/>
    <n v="170"/>
    <x v="1"/>
    <n v="1"/>
    <x v="2"/>
    <x v="0"/>
    <n v="1"/>
    <n v="1903"/>
    <n v="2"/>
    <x v="1"/>
    <n v="78"/>
    <n v="4"/>
    <n v="2"/>
    <x v="4"/>
    <n v="1"/>
    <x v="1"/>
    <n v="5033"/>
    <n v="9364"/>
    <n v="2"/>
    <s v="Y"/>
    <s v="No"/>
    <n v="15"/>
    <n v="3"/>
    <n v="4"/>
    <n v="80"/>
    <n v="1"/>
    <n v="10"/>
    <n v="5"/>
    <n v="3"/>
    <n v="2"/>
    <n v="0"/>
    <n v="2"/>
    <n v="2"/>
    <n v="0"/>
    <x v="0"/>
  </r>
  <r>
    <n v="34"/>
    <x v="0"/>
    <s v="Non-Travel"/>
    <n v="967"/>
    <x v="1"/>
    <n v="16"/>
    <x v="2"/>
    <x v="4"/>
    <n v="1"/>
    <n v="1905"/>
    <n v="4"/>
    <x v="1"/>
    <n v="85"/>
    <n v="1"/>
    <n v="1"/>
    <x v="1"/>
    <n v="1"/>
    <x v="1"/>
    <n v="2307"/>
    <n v="14460"/>
    <n v="1"/>
    <s v="Y"/>
    <s v="Yes"/>
    <n v="23"/>
    <n v="4"/>
    <n v="2"/>
    <n v="80"/>
    <n v="1"/>
    <n v="5"/>
    <n v="2"/>
    <n v="3"/>
    <n v="5"/>
    <n v="2"/>
    <n v="3"/>
    <n v="0"/>
    <n v="1"/>
    <x v="2"/>
  </r>
  <r>
    <n v="56"/>
    <x v="0"/>
    <s v="Travel_Rarely"/>
    <n v="1162"/>
    <x v="1"/>
    <n v="24"/>
    <x v="0"/>
    <x v="0"/>
    <n v="1"/>
    <n v="1907"/>
    <n v="1"/>
    <x v="1"/>
    <n v="97"/>
    <n v="3"/>
    <n v="1"/>
    <x v="2"/>
    <n v="4"/>
    <x v="0"/>
    <n v="2587"/>
    <n v="10261"/>
    <n v="1"/>
    <s v="Y"/>
    <s v="No"/>
    <n v="16"/>
    <n v="3"/>
    <n v="4"/>
    <n v="80"/>
    <n v="0"/>
    <n v="5"/>
    <n v="3"/>
    <n v="3"/>
    <n v="4"/>
    <n v="2"/>
    <n v="1"/>
    <n v="0"/>
    <n v="1"/>
    <x v="3"/>
  </r>
  <r>
    <n v="36"/>
    <x v="1"/>
    <s v="Travel_Rarely"/>
    <n v="335"/>
    <x v="0"/>
    <n v="17"/>
    <x v="0"/>
    <x v="3"/>
    <n v="1"/>
    <n v="1908"/>
    <n v="3"/>
    <x v="1"/>
    <n v="33"/>
    <n v="2"/>
    <n v="2"/>
    <x v="0"/>
    <n v="2"/>
    <x v="1"/>
    <n v="5507"/>
    <n v="16822"/>
    <n v="2"/>
    <s v="Y"/>
    <s v="No"/>
    <n v="16"/>
    <n v="3"/>
    <n v="3"/>
    <n v="80"/>
    <n v="2"/>
    <n v="12"/>
    <n v="1"/>
    <n v="1"/>
    <n v="4"/>
    <n v="2"/>
    <n v="1"/>
    <n v="3"/>
    <n v="0"/>
    <x v="0"/>
  </r>
  <r>
    <n v="41"/>
    <x v="1"/>
    <s v="Travel_Rarely"/>
    <n v="337"/>
    <x v="0"/>
    <n v="8"/>
    <x v="3"/>
    <x v="3"/>
    <n v="1"/>
    <n v="1909"/>
    <n v="3"/>
    <x v="0"/>
    <n v="54"/>
    <n v="3"/>
    <n v="2"/>
    <x v="0"/>
    <n v="2"/>
    <x v="1"/>
    <n v="4393"/>
    <n v="26841"/>
    <n v="5"/>
    <s v="Y"/>
    <s v="No"/>
    <n v="21"/>
    <n v="4"/>
    <n v="3"/>
    <n v="80"/>
    <n v="1"/>
    <n v="14"/>
    <n v="3"/>
    <n v="3"/>
    <n v="5"/>
    <n v="4"/>
    <n v="1"/>
    <n v="4"/>
    <n v="0"/>
    <x v="0"/>
  </r>
  <r>
    <n v="42"/>
    <x v="1"/>
    <s v="Travel_Rarely"/>
    <n v="1396"/>
    <x v="1"/>
    <n v="6"/>
    <x v="3"/>
    <x v="2"/>
    <n v="1"/>
    <n v="1911"/>
    <n v="3"/>
    <x v="1"/>
    <n v="83"/>
    <n v="3"/>
    <n v="3"/>
    <x v="7"/>
    <n v="1"/>
    <x v="1"/>
    <n v="13348"/>
    <n v="14842"/>
    <n v="9"/>
    <s v="Y"/>
    <s v="No"/>
    <n v="13"/>
    <n v="3"/>
    <n v="2"/>
    <n v="80"/>
    <n v="1"/>
    <n v="18"/>
    <n v="3"/>
    <n v="4"/>
    <n v="13"/>
    <n v="7"/>
    <n v="5"/>
    <n v="7"/>
    <n v="0"/>
    <x v="0"/>
  </r>
  <r>
    <n v="31"/>
    <x v="1"/>
    <s v="Travel_Rarely"/>
    <n v="1079"/>
    <x v="0"/>
    <n v="10"/>
    <x v="0"/>
    <x v="2"/>
    <n v="1"/>
    <n v="1912"/>
    <n v="3"/>
    <x v="0"/>
    <n v="86"/>
    <n v="3"/>
    <n v="2"/>
    <x v="0"/>
    <n v="4"/>
    <x v="2"/>
    <n v="6583"/>
    <n v="20115"/>
    <n v="2"/>
    <s v="Y"/>
    <s v="Yes"/>
    <n v="11"/>
    <n v="3"/>
    <n v="4"/>
    <n v="80"/>
    <n v="1"/>
    <n v="8"/>
    <n v="2"/>
    <n v="3"/>
    <n v="5"/>
    <n v="2"/>
    <n v="1"/>
    <n v="4"/>
    <n v="0"/>
    <x v="2"/>
  </r>
  <r>
    <n v="34"/>
    <x v="1"/>
    <s v="Travel_Rarely"/>
    <n v="735"/>
    <x v="0"/>
    <n v="3"/>
    <x v="1"/>
    <x v="2"/>
    <n v="1"/>
    <n v="1915"/>
    <n v="4"/>
    <x v="0"/>
    <n v="75"/>
    <n v="2"/>
    <n v="2"/>
    <x v="0"/>
    <n v="4"/>
    <x v="1"/>
    <n v="8103"/>
    <n v="16495"/>
    <n v="3"/>
    <s v="Y"/>
    <s v="Yes"/>
    <n v="12"/>
    <n v="3"/>
    <n v="3"/>
    <n v="80"/>
    <n v="0"/>
    <n v="9"/>
    <n v="3"/>
    <n v="2"/>
    <n v="4"/>
    <n v="2"/>
    <n v="0"/>
    <n v="1"/>
    <n v="0"/>
    <x v="2"/>
  </r>
  <r>
    <n v="31"/>
    <x v="1"/>
    <s v="Travel_Rarely"/>
    <n v="471"/>
    <x v="1"/>
    <n v="4"/>
    <x v="3"/>
    <x v="2"/>
    <n v="1"/>
    <n v="1916"/>
    <n v="1"/>
    <x v="0"/>
    <n v="62"/>
    <n v="4"/>
    <n v="1"/>
    <x v="2"/>
    <n v="3"/>
    <x v="2"/>
    <n v="3978"/>
    <n v="16031"/>
    <n v="8"/>
    <s v="Y"/>
    <s v="No"/>
    <n v="12"/>
    <n v="3"/>
    <n v="2"/>
    <n v="80"/>
    <n v="1"/>
    <n v="4"/>
    <n v="0"/>
    <n v="2"/>
    <n v="2"/>
    <n v="2"/>
    <n v="2"/>
    <n v="2"/>
    <n v="0"/>
    <x v="2"/>
  </r>
  <r>
    <n v="26"/>
    <x v="1"/>
    <s v="Travel_Frequently"/>
    <n v="1096"/>
    <x v="1"/>
    <n v="6"/>
    <x v="3"/>
    <x v="1"/>
    <n v="1"/>
    <n v="1918"/>
    <n v="3"/>
    <x v="1"/>
    <n v="61"/>
    <n v="4"/>
    <n v="1"/>
    <x v="2"/>
    <n v="4"/>
    <x v="1"/>
    <n v="2544"/>
    <n v="7102"/>
    <n v="0"/>
    <s v="Y"/>
    <s v="No"/>
    <n v="18"/>
    <n v="3"/>
    <n v="1"/>
    <n v="80"/>
    <n v="1"/>
    <n v="8"/>
    <n v="3"/>
    <n v="3"/>
    <n v="7"/>
    <n v="7"/>
    <n v="7"/>
    <n v="7"/>
    <n v="0"/>
    <x v="2"/>
  </r>
  <r>
    <n v="45"/>
    <x v="1"/>
    <s v="Travel_Frequently"/>
    <n v="1297"/>
    <x v="1"/>
    <n v="1"/>
    <x v="2"/>
    <x v="2"/>
    <n v="1"/>
    <n v="1922"/>
    <n v="2"/>
    <x v="1"/>
    <n v="44"/>
    <n v="3"/>
    <n v="2"/>
    <x v="4"/>
    <n v="3"/>
    <x v="0"/>
    <n v="5399"/>
    <n v="14511"/>
    <n v="4"/>
    <s v="Y"/>
    <s v="No"/>
    <n v="12"/>
    <n v="3"/>
    <n v="3"/>
    <n v="80"/>
    <n v="0"/>
    <n v="12"/>
    <n v="3"/>
    <n v="3"/>
    <n v="4"/>
    <n v="2"/>
    <n v="0"/>
    <n v="3"/>
    <n v="0"/>
    <x v="1"/>
  </r>
  <r>
    <n v="33"/>
    <x v="1"/>
    <s v="Travel_Rarely"/>
    <n v="217"/>
    <x v="0"/>
    <n v="10"/>
    <x v="2"/>
    <x v="3"/>
    <n v="1"/>
    <n v="1924"/>
    <n v="2"/>
    <x v="1"/>
    <n v="43"/>
    <n v="3"/>
    <n v="2"/>
    <x v="0"/>
    <n v="3"/>
    <x v="0"/>
    <n v="5487"/>
    <n v="10410"/>
    <n v="1"/>
    <s v="Y"/>
    <s v="No"/>
    <n v="14"/>
    <n v="3"/>
    <n v="2"/>
    <n v="80"/>
    <n v="0"/>
    <n v="10"/>
    <n v="2"/>
    <n v="2"/>
    <n v="10"/>
    <n v="4"/>
    <n v="0"/>
    <n v="9"/>
    <n v="0"/>
    <x v="2"/>
  </r>
  <r>
    <n v="28"/>
    <x v="1"/>
    <s v="Travel_Frequently"/>
    <n v="783"/>
    <x v="0"/>
    <n v="1"/>
    <x v="0"/>
    <x v="0"/>
    <n v="1"/>
    <n v="1927"/>
    <n v="3"/>
    <x v="1"/>
    <n v="42"/>
    <n v="2"/>
    <n v="2"/>
    <x v="0"/>
    <n v="4"/>
    <x v="1"/>
    <n v="6834"/>
    <n v="19255"/>
    <n v="1"/>
    <s v="Y"/>
    <s v="Yes"/>
    <n v="12"/>
    <n v="3"/>
    <n v="3"/>
    <n v="80"/>
    <n v="1"/>
    <n v="7"/>
    <n v="2"/>
    <n v="3"/>
    <n v="7"/>
    <n v="7"/>
    <n v="0"/>
    <n v="7"/>
    <n v="0"/>
    <x v="2"/>
  </r>
  <r>
    <n v="29"/>
    <x v="0"/>
    <s v="Travel_Frequently"/>
    <n v="746"/>
    <x v="0"/>
    <n v="24"/>
    <x v="3"/>
    <x v="4"/>
    <n v="1"/>
    <n v="1928"/>
    <n v="3"/>
    <x v="1"/>
    <n v="45"/>
    <n v="4"/>
    <n v="1"/>
    <x v="6"/>
    <n v="1"/>
    <x v="0"/>
    <n v="1091"/>
    <n v="10642"/>
    <n v="1"/>
    <s v="Y"/>
    <s v="No"/>
    <n v="17"/>
    <n v="3"/>
    <n v="4"/>
    <n v="80"/>
    <n v="0"/>
    <n v="1"/>
    <n v="3"/>
    <n v="3"/>
    <n v="1"/>
    <n v="0"/>
    <n v="0"/>
    <n v="0"/>
    <n v="1"/>
    <x v="2"/>
  </r>
  <r>
    <n v="39"/>
    <x v="1"/>
    <s v="Non-Travel"/>
    <n v="1251"/>
    <x v="0"/>
    <n v="21"/>
    <x v="2"/>
    <x v="0"/>
    <n v="1"/>
    <n v="1929"/>
    <n v="1"/>
    <x v="0"/>
    <n v="32"/>
    <n v="1"/>
    <n v="2"/>
    <x v="0"/>
    <n v="3"/>
    <x v="1"/>
    <n v="5736"/>
    <n v="3987"/>
    <n v="6"/>
    <s v="Y"/>
    <s v="No"/>
    <n v="19"/>
    <n v="3"/>
    <n v="3"/>
    <n v="80"/>
    <n v="1"/>
    <n v="10"/>
    <n v="1"/>
    <n v="3"/>
    <n v="3"/>
    <n v="2"/>
    <n v="1"/>
    <n v="2"/>
    <n v="0"/>
    <x v="0"/>
  </r>
  <r>
    <n v="27"/>
    <x v="1"/>
    <s v="Travel_Rarely"/>
    <n v="1354"/>
    <x v="1"/>
    <n v="2"/>
    <x v="2"/>
    <x v="4"/>
    <n v="1"/>
    <n v="1931"/>
    <n v="2"/>
    <x v="1"/>
    <n v="41"/>
    <n v="3"/>
    <n v="1"/>
    <x v="1"/>
    <n v="2"/>
    <x v="1"/>
    <n v="2226"/>
    <n v="6073"/>
    <n v="1"/>
    <s v="Y"/>
    <s v="No"/>
    <n v="11"/>
    <n v="3"/>
    <n v="3"/>
    <n v="80"/>
    <n v="1"/>
    <n v="6"/>
    <n v="3"/>
    <n v="2"/>
    <n v="5"/>
    <n v="3"/>
    <n v="1"/>
    <n v="2"/>
    <n v="0"/>
    <x v="2"/>
  </r>
  <r>
    <n v="34"/>
    <x v="1"/>
    <s v="Travel_Frequently"/>
    <n v="735"/>
    <x v="1"/>
    <n v="22"/>
    <x v="2"/>
    <x v="1"/>
    <n v="1"/>
    <n v="1932"/>
    <n v="3"/>
    <x v="1"/>
    <n v="86"/>
    <n v="2"/>
    <n v="2"/>
    <x v="1"/>
    <n v="4"/>
    <x v="1"/>
    <n v="5747"/>
    <n v="26496"/>
    <n v="1"/>
    <s v="Y"/>
    <s v="Yes"/>
    <n v="15"/>
    <n v="3"/>
    <n v="2"/>
    <n v="80"/>
    <n v="0"/>
    <n v="16"/>
    <n v="3"/>
    <n v="3"/>
    <n v="15"/>
    <n v="10"/>
    <n v="6"/>
    <n v="11"/>
    <n v="0"/>
    <x v="2"/>
  </r>
  <r>
    <n v="28"/>
    <x v="0"/>
    <s v="Travel_Rarely"/>
    <n v="1475"/>
    <x v="0"/>
    <n v="13"/>
    <x v="0"/>
    <x v="3"/>
    <n v="1"/>
    <n v="1933"/>
    <n v="4"/>
    <x v="0"/>
    <n v="84"/>
    <n v="3"/>
    <n v="2"/>
    <x v="0"/>
    <n v="3"/>
    <x v="0"/>
    <n v="9854"/>
    <n v="23352"/>
    <n v="3"/>
    <s v="Y"/>
    <s v="Yes"/>
    <n v="11"/>
    <n v="3"/>
    <n v="4"/>
    <n v="80"/>
    <n v="0"/>
    <n v="6"/>
    <n v="0"/>
    <n v="3"/>
    <n v="2"/>
    <n v="0"/>
    <n v="2"/>
    <n v="2"/>
    <n v="1"/>
    <x v="2"/>
  </r>
  <r>
    <n v="47"/>
    <x v="1"/>
    <s v="Non-Travel"/>
    <n v="1169"/>
    <x v="1"/>
    <n v="14"/>
    <x v="2"/>
    <x v="4"/>
    <n v="1"/>
    <n v="1934"/>
    <n v="3"/>
    <x v="1"/>
    <n v="64"/>
    <n v="3"/>
    <n v="2"/>
    <x v="1"/>
    <n v="2"/>
    <x v="1"/>
    <n v="5467"/>
    <n v="2125"/>
    <n v="8"/>
    <s v="Y"/>
    <s v="No"/>
    <n v="18"/>
    <n v="3"/>
    <n v="3"/>
    <n v="80"/>
    <n v="1"/>
    <n v="16"/>
    <n v="4"/>
    <n v="4"/>
    <n v="8"/>
    <n v="7"/>
    <n v="1"/>
    <n v="7"/>
    <n v="0"/>
    <x v="1"/>
  </r>
  <r>
    <n v="56"/>
    <x v="1"/>
    <s v="Travel_Rarely"/>
    <n v="1443"/>
    <x v="0"/>
    <n v="11"/>
    <x v="4"/>
    <x v="3"/>
    <n v="1"/>
    <n v="1935"/>
    <n v="4"/>
    <x v="0"/>
    <n v="89"/>
    <n v="2"/>
    <n v="2"/>
    <x v="0"/>
    <n v="1"/>
    <x v="1"/>
    <n v="5380"/>
    <n v="20328"/>
    <n v="4"/>
    <s v="Y"/>
    <s v="No"/>
    <n v="16"/>
    <n v="3"/>
    <n v="3"/>
    <n v="80"/>
    <n v="1"/>
    <n v="6"/>
    <n v="3"/>
    <n v="3"/>
    <n v="0"/>
    <n v="0"/>
    <n v="0"/>
    <n v="0"/>
    <n v="0"/>
    <x v="3"/>
  </r>
  <r>
    <n v="39"/>
    <x v="1"/>
    <s v="Travel_Rarely"/>
    <n v="867"/>
    <x v="1"/>
    <n v="9"/>
    <x v="0"/>
    <x v="2"/>
    <n v="1"/>
    <n v="1936"/>
    <n v="1"/>
    <x v="1"/>
    <n v="87"/>
    <n v="3"/>
    <n v="2"/>
    <x v="3"/>
    <n v="1"/>
    <x v="1"/>
    <n v="5151"/>
    <n v="12315"/>
    <n v="1"/>
    <s v="Y"/>
    <s v="No"/>
    <n v="25"/>
    <n v="4"/>
    <n v="4"/>
    <n v="80"/>
    <n v="1"/>
    <n v="10"/>
    <n v="3"/>
    <n v="3"/>
    <n v="10"/>
    <n v="0"/>
    <n v="7"/>
    <n v="9"/>
    <n v="0"/>
    <x v="0"/>
  </r>
  <r>
    <n v="38"/>
    <x v="1"/>
    <s v="Travel_Frequently"/>
    <n v="1394"/>
    <x v="1"/>
    <n v="8"/>
    <x v="3"/>
    <x v="2"/>
    <n v="1"/>
    <n v="1937"/>
    <n v="4"/>
    <x v="0"/>
    <n v="58"/>
    <n v="2"/>
    <n v="2"/>
    <x v="1"/>
    <n v="2"/>
    <x v="2"/>
    <n v="2133"/>
    <n v="18115"/>
    <n v="1"/>
    <s v="Y"/>
    <s v="Yes"/>
    <n v="16"/>
    <n v="3"/>
    <n v="3"/>
    <n v="80"/>
    <n v="1"/>
    <n v="20"/>
    <n v="3"/>
    <n v="3"/>
    <n v="20"/>
    <n v="11"/>
    <n v="0"/>
    <n v="7"/>
    <n v="0"/>
    <x v="0"/>
  </r>
  <r>
    <n v="58"/>
    <x v="1"/>
    <s v="Travel_Rarely"/>
    <n v="605"/>
    <x v="0"/>
    <n v="21"/>
    <x v="3"/>
    <x v="0"/>
    <n v="1"/>
    <n v="1938"/>
    <n v="4"/>
    <x v="0"/>
    <n v="72"/>
    <n v="3"/>
    <n v="4"/>
    <x v="5"/>
    <n v="4"/>
    <x v="1"/>
    <n v="17875"/>
    <n v="11761"/>
    <n v="4"/>
    <s v="Y"/>
    <s v="Yes"/>
    <n v="13"/>
    <n v="3"/>
    <n v="3"/>
    <n v="80"/>
    <n v="1"/>
    <n v="29"/>
    <n v="2"/>
    <n v="2"/>
    <n v="1"/>
    <n v="0"/>
    <n v="0"/>
    <n v="0"/>
    <n v="0"/>
    <x v="3"/>
  </r>
  <r>
    <n v="32"/>
    <x v="0"/>
    <s v="Travel_Frequently"/>
    <n v="238"/>
    <x v="1"/>
    <n v="5"/>
    <x v="0"/>
    <x v="0"/>
    <n v="1"/>
    <n v="1939"/>
    <n v="1"/>
    <x v="0"/>
    <n v="47"/>
    <n v="4"/>
    <n v="1"/>
    <x v="1"/>
    <n v="3"/>
    <x v="0"/>
    <n v="2432"/>
    <n v="15318"/>
    <n v="3"/>
    <s v="Y"/>
    <s v="Yes"/>
    <n v="14"/>
    <n v="3"/>
    <n v="1"/>
    <n v="80"/>
    <n v="0"/>
    <n v="8"/>
    <n v="2"/>
    <n v="3"/>
    <n v="4"/>
    <n v="1"/>
    <n v="0"/>
    <n v="3"/>
    <n v="1"/>
    <x v="2"/>
  </r>
  <r>
    <n v="38"/>
    <x v="1"/>
    <s v="Travel_Rarely"/>
    <n v="1206"/>
    <x v="1"/>
    <n v="9"/>
    <x v="0"/>
    <x v="0"/>
    <n v="1"/>
    <n v="1940"/>
    <n v="2"/>
    <x v="1"/>
    <n v="71"/>
    <n v="3"/>
    <n v="1"/>
    <x v="1"/>
    <n v="4"/>
    <x v="2"/>
    <n v="4771"/>
    <n v="14293"/>
    <n v="2"/>
    <s v="Y"/>
    <s v="No"/>
    <n v="19"/>
    <n v="3"/>
    <n v="4"/>
    <n v="80"/>
    <n v="2"/>
    <n v="10"/>
    <n v="0"/>
    <n v="4"/>
    <n v="5"/>
    <n v="2"/>
    <n v="0"/>
    <n v="3"/>
    <n v="0"/>
    <x v="0"/>
  </r>
  <r>
    <n v="49"/>
    <x v="1"/>
    <s v="Travel_Frequently"/>
    <n v="1064"/>
    <x v="1"/>
    <n v="2"/>
    <x v="1"/>
    <x v="0"/>
    <n v="1"/>
    <n v="1941"/>
    <n v="2"/>
    <x v="1"/>
    <n v="42"/>
    <n v="3"/>
    <n v="5"/>
    <x v="7"/>
    <n v="4"/>
    <x v="1"/>
    <n v="19161"/>
    <n v="13738"/>
    <n v="3"/>
    <s v="Y"/>
    <s v="No"/>
    <n v="15"/>
    <n v="3"/>
    <n v="4"/>
    <n v="80"/>
    <n v="0"/>
    <n v="28"/>
    <n v="3"/>
    <n v="3"/>
    <n v="5"/>
    <n v="4"/>
    <n v="4"/>
    <n v="3"/>
    <n v="0"/>
    <x v="1"/>
  </r>
  <r>
    <n v="42"/>
    <x v="1"/>
    <s v="Travel_Rarely"/>
    <n v="419"/>
    <x v="0"/>
    <n v="12"/>
    <x v="2"/>
    <x v="3"/>
    <n v="1"/>
    <n v="1943"/>
    <n v="2"/>
    <x v="1"/>
    <n v="77"/>
    <n v="3"/>
    <n v="2"/>
    <x v="0"/>
    <n v="4"/>
    <x v="2"/>
    <n v="5087"/>
    <n v="2900"/>
    <n v="3"/>
    <s v="Y"/>
    <s v="Yes"/>
    <n v="12"/>
    <n v="3"/>
    <n v="3"/>
    <n v="80"/>
    <n v="2"/>
    <n v="14"/>
    <n v="4"/>
    <n v="3"/>
    <n v="0"/>
    <n v="0"/>
    <n v="0"/>
    <n v="0"/>
    <n v="0"/>
    <x v="0"/>
  </r>
  <r>
    <n v="27"/>
    <x v="0"/>
    <s v="Travel_Frequently"/>
    <n v="1337"/>
    <x v="2"/>
    <n v="22"/>
    <x v="3"/>
    <x v="5"/>
    <n v="1"/>
    <n v="1944"/>
    <n v="1"/>
    <x v="0"/>
    <n v="58"/>
    <n v="2"/>
    <n v="1"/>
    <x v="8"/>
    <n v="2"/>
    <x v="1"/>
    <n v="2863"/>
    <n v="19555"/>
    <n v="1"/>
    <s v="Y"/>
    <s v="No"/>
    <n v="12"/>
    <n v="3"/>
    <n v="1"/>
    <n v="80"/>
    <n v="0"/>
    <n v="1"/>
    <n v="2"/>
    <n v="3"/>
    <n v="1"/>
    <n v="0"/>
    <n v="0"/>
    <n v="0"/>
    <n v="1"/>
    <x v="2"/>
  </r>
  <r>
    <n v="35"/>
    <x v="1"/>
    <s v="Travel_Rarely"/>
    <n v="682"/>
    <x v="0"/>
    <n v="18"/>
    <x v="2"/>
    <x v="2"/>
    <n v="1"/>
    <n v="1945"/>
    <n v="2"/>
    <x v="1"/>
    <n v="71"/>
    <n v="3"/>
    <n v="2"/>
    <x v="0"/>
    <n v="1"/>
    <x v="1"/>
    <n v="5561"/>
    <n v="15975"/>
    <n v="0"/>
    <s v="Y"/>
    <s v="No"/>
    <n v="16"/>
    <n v="3"/>
    <n v="4"/>
    <n v="80"/>
    <n v="1"/>
    <n v="6"/>
    <n v="2"/>
    <n v="1"/>
    <n v="5"/>
    <n v="3"/>
    <n v="0"/>
    <n v="4"/>
    <n v="0"/>
    <x v="0"/>
  </r>
  <r>
    <n v="28"/>
    <x v="1"/>
    <s v="Non-Travel"/>
    <n v="1103"/>
    <x v="1"/>
    <n v="16"/>
    <x v="3"/>
    <x v="2"/>
    <n v="1"/>
    <n v="1947"/>
    <n v="3"/>
    <x v="1"/>
    <n v="49"/>
    <n v="3"/>
    <n v="1"/>
    <x v="1"/>
    <n v="3"/>
    <x v="0"/>
    <n v="2144"/>
    <n v="2122"/>
    <n v="1"/>
    <s v="Y"/>
    <s v="No"/>
    <n v="14"/>
    <n v="3"/>
    <n v="3"/>
    <n v="80"/>
    <n v="0"/>
    <n v="5"/>
    <n v="3"/>
    <n v="2"/>
    <n v="5"/>
    <n v="3"/>
    <n v="1"/>
    <n v="4"/>
    <n v="0"/>
    <x v="2"/>
  </r>
  <r>
    <n v="31"/>
    <x v="1"/>
    <s v="Non-Travel"/>
    <n v="976"/>
    <x v="1"/>
    <n v="3"/>
    <x v="0"/>
    <x v="2"/>
    <n v="1"/>
    <n v="1948"/>
    <n v="3"/>
    <x v="1"/>
    <n v="48"/>
    <n v="3"/>
    <n v="1"/>
    <x v="1"/>
    <n v="1"/>
    <x v="2"/>
    <n v="3065"/>
    <n v="3995"/>
    <n v="1"/>
    <s v="Y"/>
    <s v="Yes"/>
    <n v="13"/>
    <n v="3"/>
    <n v="4"/>
    <n v="80"/>
    <n v="1"/>
    <n v="4"/>
    <n v="3"/>
    <n v="4"/>
    <n v="4"/>
    <n v="2"/>
    <n v="2"/>
    <n v="3"/>
    <n v="0"/>
    <x v="2"/>
  </r>
  <r>
    <n v="36"/>
    <x v="1"/>
    <s v="Non-Travel"/>
    <n v="1351"/>
    <x v="1"/>
    <n v="9"/>
    <x v="2"/>
    <x v="0"/>
    <n v="1"/>
    <n v="1949"/>
    <n v="1"/>
    <x v="1"/>
    <n v="66"/>
    <n v="4"/>
    <n v="1"/>
    <x v="2"/>
    <n v="2"/>
    <x v="1"/>
    <n v="2810"/>
    <n v="9238"/>
    <n v="1"/>
    <s v="Y"/>
    <s v="No"/>
    <n v="22"/>
    <n v="4"/>
    <n v="2"/>
    <n v="80"/>
    <n v="0"/>
    <n v="5"/>
    <n v="3"/>
    <n v="3"/>
    <n v="5"/>
    <n v="4"/>
    <n v="0"/>
    <n v="2"/>
    <n v="0"/>
    <x v="0"/>
  </r>
  <r>
    <n v="34"/>
    <x v="1"/>
    <s v="Travel_Rarely"/>
    <n v="937"/>
    <x v="0"/>
    <n v="1"/>
    <x v="3"/>
    <x v="3"/>
    <n v="1"/>
    <n v="1950"/>
    <n v="1"/>
    <x v="1"/>
    <n v="32"/>
    <n v="3"/>
    <n v="3"/>
    <x v="0"/>
    <n v="4"/>
    <x v="0"/>
    <n v="9888"/>
    <n v="6770"/>
    <n v="1"/>
    <s v="Y"/>
    <s v="No"/>
    <n v="21"/>
    <n v="4"/>
    <n v="1"/>
    <n v="80"/>
    <n v="0"/>
    <n v="14"/>
    <n v="3"/>
    <n v="2"/>
    <n v="14"/>
    <n v="8"/>
    <n v="2"/>
    <n v="1"/>
    <n v="0"/>
    <x v="2"/>
  </r>
  <r>
    <n v="34"/>
    <x v="1"/>
    <s v="Travel_Rarely"/>
    <n v="1239"/>
    <x v="0"/>
    <n v="13"/>
    <x v="2"/>
    <x v="2"/>
    <n v="1"/>
    <n v="1951"/>
    <n v="4"/>
    <x v="1"/>
    <n v="39"/>
    <n v="3"/>
    <n v="3"/>
    <x v="0"/>
    <n v="3"/>
    <x v="2"/>
    <n v="8628"/>
    <n v="22914"/>
    <n v="1"/>
    <s v="Y"/>
    <s v="No"/>
    <n v="18"/>
    <n v="3"/>
    <n v="3"/>
    <n v="80"/>
    <n v="1"/>
    <n v="9"/>
    <n v="2"/>
    <n v="2"/>
    <n v="8"/>
    <n v="7"/>
    <n v="1"/>
    <n v="1"/>
    <n v="0"/>
    <x v="2"/>
  </r>
  <r>
    <n v="26"/>
    <x v="1"/>
    <s v="Travel_Rarely"/>
    <n v="157"/>
    <x v="1"/>
    <n v="1"/>
    <x v="3"/>
    <x v="2"/>
    <n v="1"/>
    <n v="1952"/>
    <n v="3"/>
    <x v="1"/>
    <n v="95"/>
    <n v="3"/>
    <n v="1"/>
    <x v="2"/>
    <n v="1"/>
    <x v="0"/>
    <n v="2867"/>
    <n v="20006"/>
    <n v="0"/>
    <s v="Y"/>
    <s v="No"/>
    <n v="13"/>
    <n v="3"/>
    <n v="4"/>
    <n v="80"/>
    <n v="0"/>
    <n v="8"/>
    <n v="6"/>
    <n v="2"/>
    <n v="7"/>
    <n v="7"/>
    <n v="7"/>
    <n v="6"/>
    <n v="0"/>
    <x v="2"/>
  </r>
  <r>
    <n v="29"/>
    <x v="1"/>
    <s v="Travel_Rarely"/>
    <n v="136"/>
    <x v="1"/>
    <n v="1"/>
    <x v="3"/>
    <x v="0"/>
    <n v="1"/>
    <n v="1954"/>
    <n v="1"/>
    <x v="1"/>
    <n v="89"/>
    <n v="3"/>
    <n v="2"/>
    <x v="4"/>
    <n v="1"/>
    <x v="1"/>
    <n v="5373"/>
    <n v="6225"/>
    <n v="0"/>
    <s v="Y"/>
    <s v="No"/>
    <n v="12"/>
    <n v="3"/>
    <n v="1"/>
    <n v="80"/>
    <n v="1"/>
    <n v="6"/>
    <n v="5"/>
    <n v="2"/>
    <n v="5"/>
    <n v="3"/>
    <n v="0"/>
    <n v="2"/>
    <n v="0"/>
    <x v="2"/>
  </r>
  <r>
    <n v="32"/>
    <x v="1"/>
    <s v="Non-Travel"/>
    <n v="1146"/>
    <x v="1"/>
    <n v="15"/>
    <x v="2"/>
    <x v="2"/>
    <n v="1"/>
    <n v="1955"/>
    <n v="3"/>
    <x v="0"/>
    <n v="34"/>
    <n v="3"/>
    <n v="2"/>
    <x v="4"/>
    <n v="4"/>
    <x v="2"/>
    <n v="6667"/>
    <n v="16542"/>
    <n v="5"/>
    <s v="Y"/>
    <s v="No"/>
    <n v="18"/>
    <n v="3"/>
    <n v="2"/>
    <n v="80"/>
    <n v="1"/>
    <n v="9"/>
    <n v="6"/>
    <n v="3"/>
    <n v="5"/>
    <n v="1"/>
    <n v="1"/>
    <n v="2"/>
    <n v="0"/>
    <x v="2"/>
  </r>
  <r>
    <n v="31"/>
    <x v="1"/>
    <s v="Travel_Frequently"/>
    <n v="1125"/>
    <x v="1"/>
    <n v="1"/>
    <x v="3"/>
    <x v="0"/>
    <n v="1"/>
    <n v="1956"/>
    <n v="4"/>
    <x v="1"/>
    <n v="48"/>
    <n v="1"/>
    <n v="2"/>
    <x v="1"/>
    <n v="1"/>
    <x v="1"/>
    <n v="5003"/>
    <n v="5771"/>
    <n v="1"/>
    <s v="Y"/>
    <s v="No"/>
    <n v="21"/>
    <n v="4"/>
    <n v="2"/>
    <n v="80"/>
    <n v="0"/>
    <n v="10"/>
    <n v="6"/>
    <n v="3"/>
    <n v="10"/>
    <n v="8"/>
    <n v="8"/>
    <n v="7"/>
    <n v="0"/>
    <x v="2"/>
  </r>
  <r>
    <n v="28"/>
    <x v="0"/>
    <s v="Travel_Rarely"/>
    <n v="1404"/>
    <x v="1"/>
    <n v="17"/>
    <x v="3"/>
    <x v="4"/>
    <n v="1"/>
    <n v="1960"/>
    <n v="3"/>
    <x v="1"/>
    <n v="32"/>
    <n v="2"/>
    <n v="1"/>
    <x v="2"/>
    <n v="4"/>
    <x v="2"/>
    <n v="2367"/>
    <n v="18779"/>
    <n v="5"/>
    <s v="Y"/>
    <s v="No"/>
    <n v="12"/>
    <n v="3"/>
    <n v="1"/>
    <n v="80"/>
    <n v="1"/>
    <n v="6"/>
    <n v="2"/>
    <n v="2"/>
    <n v="4"/>
    <n v="1"/>
    <n v="0"/>
    <n v="3"/>
    <n v="1"/>
    <x v="2"/>
  </r>
  <r>
    <n v="38"/>
    <x v="1"/>
    <s v="Travel_Rarely"/>
    <n v="1404"/>
    <x v="0"/>
    <n v="1"/>
    <x v="3"/>
    <x v="0"/>
    <n v="1"/>
    <n v="1961"/>
    <n v="1"/>
    <x v="1"/>
    <n v="59"/>
    <n v="2"/>
    <n v="1"/>
    <x v="6"/>
    <n v="1"/>
    <x v="0"/>
    <n v="2858"/>
    <n v="11473"/>
    <n v="4"/>
    <s v="Y"/>
    <s v="No"/>
    <n v="14"/>
    <n v="3"/>
    <n v="1"/>
    <n v="80"/>
    <n v="0"/>
    <n v="20"/>
    <n v="3"/>
    <n v="2"/>
    <n v="1"/>
    <n v="0"/>
    <n v="0"/>
    <n v="0"/>
    <n v="0"/>
    <x v="0"/>
  </r>
  <r>
    <n v="35"/>
    <x v="1"/>
    <s v="Travel_Rarely"/>
    <n v="1224"/>
    <x v="0"/>
    <n v="7"/>
    <x v="2"/>
    <x v="0"/>
    <n v="1"/>
    <n v="1962"/>
    <n v="3"/>
    <x v="0"/>
    <n v="55"/>
    <n v="3"/>
    <n v="2"/>
    <x v="0"/>
    <n v="4"/>
    <x v="1"/>
    <n v="5204"/>
    <n v="13586"/>
    <n v="1"/>
    <s v="Y"/>
    <s v="Yes"/>
    <n v="11"/>
    <n v="3"/>
    <n v="4"/>
    <n v="80"/>
    <n v="0"/>
    <n v="10"/>
    <n v="2"/>
    <n v="3"/>
    <n v="10"/>
    <n v="8"/>
    <n v="0"/>
    <n v="9"/>
    <n v="0"/>
    <x v="0"/>
  </r>
  <r>
    <n v="27"/>
    <x v="1"/>
    <s v="Travel_Rarely"/>
    <n v="954"/>
    <x v="0"/>
    <n v="9"/>
    <x v="3"/>
    <x v="3"/>
    <n v="1"/>
    <n v="1965"/>
    <n v="4"/>
    <x v="1"/>
    <n v="44"/>
    <n v="3"/>
    <n v="2"/>
    <x v="0"/>
    <n v="4"/>
    <x v="0"/>
    <n v="4105"/>
    <n v="5099"/>
    <n v="1"/>
    <s v="Y"/>
    <s v="No"/>
    <n v="14"/>
    <n v="3"/>
    <n v="1"/>
    <n v="80"/>
    <n v="0"/>
    <n v="7"/>
    <n v="5"/>
    <n v="3"/>
    <n v="7"/>
    <n v="7"/>
    <n v="0"/>
    <n v="7"/>
    <n v="0"/>
    <x v="2"/>
  </r>
  <r>
    <n v="32"/>
    <x v="1"/>
    <s v="Travel_Rarely"/>
    <n v="1373"/>
    <x v="1"/>
    <n v="5"/>
    <x v="2"/>
    <x v="0"/>
    <n v="1"/>
    <n v="1966"/>
    <n v="4"/>
    <x v="1"/>
    <n v="56"/>
    <n v="2"/>
    <n v="2"/>
    <x v="3"/>
    <n v="4"/>
    <x v="0"/>
    <n v="9679"/>
    <n v="10138"/>
    <n v="8"/>
    <s v="Y"/>
    <s v="No"/>
    <n v="24"/>
    <n v="4"/>
    <n v="2"/>
    <n v="80"/>
    <n v="0"/>
    <n v="8"/>
    <n v="1"/>
    <n v="3"/>
    <n v="1"/>
    <n v="0"/>
    <n v="0"/>
    <n v="0"/>
    <n v="0"/>
    <x v="2"/>
  </r>
  <r>
    <n v="31"/>
    <x v="0"/>
    <s v="Travel_Frequently"/>
    <n v="754"/>
    <x v="0"/>
    <n v="26"/>
    <x v="2"/>
    <x v="3"/>
    <n v="1"/>
    <n v="1967"/>
    <n v="1"/>
    <x v="1"/>
    <n v="63"/>
    <n v="3"/>
    <n v="2"/>
    <x v="0"/>
    <n v="4"/>
    <x v="1"/>
    <n v="5617"/>
    <n v="21075"/>
    <n v="1"/>
    <s v="Y"/>
    <s v="Yes"/>
    <n v="11"/>
    <n v="3"/>
    <n v="3"/>
    <n v="80"/>
    <n v="0"/>
    <n v="10"/>
    <n v="4"/>
    <n v="3"/>
    <n v="10"/>
    <n v="7"/>
    <n v="0"/>
    <n v="8"/>
    <n v="1"/>
    <x v="2"/>
  </r>
  <r>
    <n v="53"/>
    <x v="0"/>
    <s v="Travel_Rarely"/>
    <n v="1168"/>
    <x v="0"/>
    <n v="24"/>
    <x v="2"/>
    <x v="0"/>
    <n v="1"/>
    <n v="1968"/>
    <n v="1"/>
    <x v="1"/>
    <n v="66"/>
    <n v="3"/>
    <n v="3"/>
    <x v="0"/>
    <n v="1"/>
    <x v="0"/>
    <n v="10448"/>
    <n v="5843"/>
    <n v="6"/>
    <s v="Y"/>
    <s v="Yes"/>
    <n v="13"/>
    <n v="3"/>
    <n v="2"/>
    <n v="80"/>
    <n v="0"/>
    <n v="15"/>
    <n v="2"/>
    <n v="2"/>
    <n v="2"/>
    <n v="2"/>
    <n v="2"/>
    <n v="2"/>
    <n v="1"/>
    <x v="1"/>
  </r>
  <r>
    <n v="54"/>
    <x v="1"/>
    <s v="Travel_Rarely"/>
    <n v="155"/>
    <x v="1"/>
    <n v="9"/>
    <x v="0"/>
    <x v="0"/>
    <n v="1"/>
    <n v="1969"/>
    <n v="1"/>
    <x v="0"/>
    <n v="67"/>
    <n v="3"/>
    <n v="2"/>
    <x v="1"/>
    <n v="3"/>
    <x v="1"/>
    <n v="2897"/>
    <n v="22474"/>
    <n v="3"/>
    <s v="Y"/>
    <s v="No"/>
    <n v="11"/>
    <n v="3"/>
    <n v="3"/>
    <n v="80"/>
    <n v="2"/>
    <n v="9"/>
    <n v="6"/>
    <n v="2"/>
    <n v="4"/>
    <n v="3"/>
    <n v="2"/>
    <n v="3"/>
    <n v="0"/>
    <x v="1"/>
  </r>
  <r>
    <n v="33"/>
    <x v="1"/>
    <s v="Travel_Frequently"/>
    <n v="1303"/>
    <x v="1"/>
    <n v="7"/>
    <x v="0"/>
    <x v="0"/>
    <n v="1"/>
    <n v="1970"/>
    <n v="4"/>
    <x v="1"/>
    <n v="36"/>
    <n v="3"/>
    <n v="2"/>
    <x v="4"/>
    <n v="3"/>
    <x v="2"/>
    <n v="5968"/>
    <n v="18079"/>
    <n v="1"/>
    <s v="Y"/>
    <s v="No"/>
    <n v="20"/>
    <n v="4"/>
    <n v="3"/>
    <n v="80"/>
    <n v="3"/>
    <n v="9"/>
    <n v="2"/>
    <n v="3"/>
    <n v="9"/>
    <n v="7"/>
    <n v="2"/>
    <n v="8"/>
    <n v="0"/>
    <x v="2"/>
  </r>
  <r>
    <n v="43"/>
    <x v="1"/>
    <s v="Travel_Rarely"/>
    <n v="574"/>
    <x v="1"/>
    <n v="11"/>
    <x v="3"/>
    <x v="0"/>
    <n v="1"/>
    <n v="1971"/>
    <n v="1"/>
    <x v="1"/>
    <n v="30"/>
    <n v="3"/>
    <n v="3"/>
    <x v="4"/>
    <n v="3"/>
    <x v="1"/>
    <n v="7510"/>
    <n v="16873"/>
    <n v="1"/>
    <s v="Y"/>
    <s v="No"/>
    <n v="17"/>
    <n v="3"/>
    <n v="2"/>
    <n v="80"/>
    <n v="1"/>
    <n v="10"/>
    <n v="1"/>
    <n v="3"/>
    <n v="10"/>
    <n v="9"/>
    <n v="0"/>
    <n v="9"/>
    <n v="0"/>
    <x v="0"/>
  </r>
  <r>
    <n v="38"/>
    <x v="1"/>
    <s v="Travel_Frequently"/>
    <n v="1444"/>
    <x v="2"/>
    <n v="1"/>
    <x v="2"/>
    <x v="1"/>
    <n v="1"/>
    <n v="1972"/>
    <n v="4"/>
    <x v="1"/>
    <n v="88"/>
    <n v="3"/>
    <n v="1"/>
    <x v="8"/>
    <n v="2"/>
    <x v="1"/>
    <n v="2991"/>
    <n v="5224"/>
    <n v="0"/>
    <s v="Y"/>
    <s v="Yes"/>
    <n v="11"/>
    <n v="3"/>
    <n v="2"/>
    <n v="80"/>
    <n v="1"/>
    <n v="7"/>
    <n v="2"/>
    <n v="3"/>
    <n v="6"/>
    <n v="2"/>
    <n v="1"/>
    <n v="2"/>
    <n v="0"/>
    <x v="0"/>
  </r>
  <r>
    <n v="55"/>
    <x v="1"/>
    <s v="Travel_Rarely"/>
    <n v="189"/>
    <x v="2"/>
    <n v="26"/>
    <x v="2"/>
    <x v="5"/>
    <n v="1"/>
    <n v="1973"/>
    <n v="3"/>
    <x v="1"/>
    <n v="71"/>
    <n v="4"/>
    <n v="5"/>
    <x v="5"/>
    <n v="2"/>
    <x v="1"/>
    <n v="19636"/>
    <n v="25811"/>
    <n v="4"/>
    <s v="Y"/>
    <s v="Yes"/>
    <n v="18"/>
    <n v="3"/>
    <n v="1"/>
    <n v="80"/>
    <n v="1"/>
    <n v="35"/>
    <n v="0"/>
    <n v="3"/>
    <n v="10"/>
    <n v="9"/>
    <n v="1"/>
    <n v="4"/>
    <n v="0"/>
    <x v="3"/>
  </r>
  <r>
    <n v="31"/>
    <x v="1"/>
    <s v="Travel_Rarely"/>
    <n v="1276"/>
    <x v="1"/>
    <n v="2"/>
    <x v="1"/>
    <x v="2"/>
    <n v="1"/>
    <n v="1974"/>
    <n v="4"/>
    <x v="0"/>
    <n v="59"/>
    <n v="1"/>
    <n v="1"/>
    <x v="2"/>
    <n v="4"/>
    <x v="2"/>
    <n v="1129"/>
    <n v="17536"/>
    <n v="1"/>
    <s v="Y"/>
    <s v="Yes"/>
    <n v="11"/>
    <n v="3"/>
    <n v="3"/>
    <n v="80"/>
    <n v="3"/>
    <n v="1"/>
    <n v="4"/>
    <n v="3"/>
    <n v="1"/>
    <n v="0"/>
    <n v="0"/>
    <n v="0"/>
    <n v="0"/>
    <x v="2"/>
  </r>
  <r>
    <n v="39"/>
    <x v="1"/>
    <s v="Travel_Rarely"/>
    <n v="119"/>
    <x v="0"/>
    <n v="15"/>
    <x v="2"/>
    <x v="3"/>
    <n v="1"/>
    <n v="1975"/>
    <n v="2"/>
    <x v="1"/>
    <n v="77"/>
    <n v="3"/>
    <n v="4"/>
    <x v="0"/>
    <n v="1"/>
    <x v="0"/>
    <n v="13341"/>
    <n v="25098"/>
    <n v="0"/>
    <s v="Y"/>
    <s v="No"/>
    <n v="12"/>
    <n v="3"/>
    <n v="1"/>
    <n v="80"/>
    <n v="0"/>
    <n v="21"/>
    <n v="3"/>
    <n v="3"/>
    <n v="20"/>
    <n v="8"/>
    <n v="11"/>
    <n v="10"/>
    <n v="0"/>
    <x v="0"/>
  </r>
  <r>
    <n v="42"/>
    <x v="1"/>
    <s v="Non-Travel"/>
    <n v="335"/>
    <x v="1"/>
    <n v="23"/>
    <x v="0"/>
    <x v="0"/>
    <n v="1"/>
    <n v="1976"/>
    <n v="4"/>
    <x v="1"/>
    <n v="37"/>
    <n v="2"/>
    <n v="2"/>
    <x v="1"/>
    <n v="3"/>
    <x v="0"/>
    <n v="4332"/>
    <n v="14811"/>
    <n v="1"/>
    <s v="Y"/>
    <s v="No"/>
    <n v="12"/>
    <n v="3"/>
    <n v="4"/>
    <n v="80"/>
    <n v="0"/>
    <n v="20"/>
    <n v="2"/>
    <n v="3"/>
    <n v="20"/>
    <n v="9"/>
    <n v="3"/>
    <n v="7"/>
    <n v="0"/>
    <x v="0"/>
  </r>
  <r>
    <n v="31"/>
    <x v="1"/>
    <s v="Non-Travel"/>
    <n v="697"/>
    <x v="1"/>
    <n v="10"/>
    <x v="3"/>
    <x v="2"/>
    <n v="1"/>
    <n v="1979"/>
    <n v="3"/>
    <x v="0"/>
    <n v="40"/>
    <n v="3"/>
    <n v="3"/>
    <x v="7"/>
    <n v="3"/>
    <x v="1"/>
    <n v="11031"/>
    <n v="26862"/>
    <n v="4"/>
    <s v="Y"/>
    <s v="No"/>
    <n v="20"/>
    <n v="4"/>
    <n v="3"/>
    <n v="80"/>
    <n v="1"/>
    <n v="13"/>
    <n v="2"/>
    <n v="4"/>
    <n v="11"/>
    <n v="7"/>
    <n v="4"/>
    <n v="8"/>
    <n v="0"/>
    <x v="2"/>
  </r>
  <r>
    <n v="54"/>
    <x v="1"/>
    <s v="Travel_Rarely"/>
    <n v="157"/>
    <x v="1"/>
    <n v="10"/>
    <x v="3"/>
    <x v="2"/>
    <n v="1"/>
    <n v="1980"/>
    <n v="3"/>
    <x v="0"/>
    <n v="77"/>
    <n v="3"/>
    <n v="2"/>
    <x v="3"/>
    <n v="1"/>
    <x v="0"/>
    <n v="4440"/>
    <n v="25198"/>
    <n v="6"/>
    <s v="Y"/>
    <s v="Yes"/>
    <n v="19"/>
    <n v="3"/>
    <n v="4"/>
    <n v="80"/>
    <n v="0"/>
    <n v="9"/>
    <n v="3"/>
    <n v="3"/>
    <n v="5"/>
    <n v="2"/>
    <n v="1"/>
    <n v="4"/>
    <n v="0"/>
    <x v="1"/>
  </r>
  <r>
    <n v="24"/>
    <x v="1"/>
    <s v="Travel_Rarely"/>
    <n v="771"/>
    <x v="1"/>
    <n v="1"/>
    <x v="0"/>
    <x v="0"/>
    <n v="1"/>
    <n v="1981"/>
    <n v="2"/>
    <x v="1"/>
    <n v="45"/>
    <n v="2"/>
    <n v="2"/>
    <x v="4"/>
    <n v="3"/>
    <x v="0"/>
    <n v="4617"/>
    <n v="14120"/>
    <n v="1"/>
    <s v="Y"/>
    <s v="No"/>
    <n v="12"/>
    <n v="3"/>
    <n v="2"/>
    <n v="80"/>
    <n v="0"/>
    <n v="4"/>
    <n v="2"/>
    <n v="2"/>
    <n v="4"/>
    <n v="3"/>
    <n v="1"/>
    <n v="2"/>
    <n v="0"/>
    <x v="4"/>
  </r>
  <r>
    <n v="23"/>
    <x v="1"/>
    <s v="Travel_Rarely"/>
    <n v="571"/>
    <x v="1"/>
    <n v="12"/>
    <x v="0"/>
    <x v="1"/>
    <n v="1"/>
    <n v="1982"/>
    <n v="4"/>
    <x v="1"/>
    <n v="78"/>
    <n v="3"/>
    <n v="1"/>
    <x v="2"/>
    <n v="4"/>
    <x v="0"/>
    <n v="2647"/>
    <n v="13672"/>
    <n v="1"/>
    <s v="Y"/>
    <s v="No"/>
    <n v="13"/>
    <n v="3"/>
    <n v="3"/>
    <n v="80"/>
    <n v="0"/>
    <n v="5"/>
    <n v="6"/>
    <n v="4"/>
    <n v="5"/>
    <n v="2"/>
    <n v="1"/>
    <n v="4"/>
    <n v="0"/>
    <x v="4"/>
  </r>
  <r>
    <n v="40"/>
    <x v="1"/>
    <s v="Travel_Frequently"/>
    <n v="692"/>
    <x v="1"/>
    <n v="11"/>
    <x v="3"/>
    <x v="4"/>
    <n v="1"/>
    <n v="1985"/>
    <n v="4"/>
    <x v="0"/>
    <n v="73"/>
    <n v="3"/>
    <n v="2"/>
    <x v="2"/>
    <n v="3"/>
    <x v="1"/>
    <n v="6323"/>
    <n v="26849"/>
    <n v="1"/>
    <s v="Y"/>
    <s v="No"/>
    <n v="11"/>
    <n v="3"/>
    <n v="1"/>
    <n v="80"/>
    <n v="1"/>
    <n v="10"/>
    <n v="2"/>
    <n v="4"/>
    <n v="10"/>
    <n v="9"/>
    <n v="9"/>
    <n v="4"/>
    <n v="0"/>
    <x v="0"/>
  </r>
  <r>
    <n v="40"/>
    <x v="1"/>
    <s v="Travel_Rarely"/>
    <n v="444"/>
    <x v="0"/>
    <n v="2"/>
    <x v="0"/>
    <x v="3"/>
    <n v="1"/>
    <n v="1986"/>
    <n v="2"/>
    <x v="0"/>
    <n v="92"/>
    <n v="3"/>
    <n v="2"/>
    <x v="0"/>
    <n v="2"/>
    <x v="1"/>
    <n v="5677"/>
    <n v="4258"/>
    <n v="3"/>
    <s v="Y"/>
    <s v="No"/>
    <n v="14"/>
    <n v="3"/>
    <n v="3"/>
    <n v="80"/>
    <n v="1"/>
    <n v="15"/>
    <n v="4"/>
    <n v="3"/>
    <n v="11"/>
    <n v="8"/>
    <n v="5"/>
    <n v="10"/>
    <n v="0"/>
    <x v="0"/>
  </r>
  <r>
    <n v="25"/>
    <x v="1"/>
    <s v="Travel_Rarely"/>
    <n v="309"/>
    <x v="2"/>
    <n v="2"/>
    <x v="3"/>
    <x v="5"/>
    <n v="1"/>
    <n v="1987"/>
    <n v="3"/>
    <x v="0"/>
    <n v="82"/>
    <n v="3"/>
    <n v="1"/>
    <x v="8"/>
    <n v="2"/>
    <x v="1"/>
    <n v="2187"/>
    <n v="19655"/>
    <n v="4"/>
    <s v="Y"/>
    <s v="No"/>
    <n v="14"/>
    <n v="3"/>
    <n v="3"/>
    <n v="80"/>
    <n v="0"/>
    <n v="6"/>
    <n v="3"/>
    <n v="3"/>
    <n v="2"/>
    <n v="0"/>
    <n v="1"/>
    <n v="2"/>
    <n v="0"/>
    <x v="2"/>
  </r>
  <r>
    <n v="30"/>
    <x v="1"/>
    <s v="Travel_Rarely"/>
    <n v="911"/>
    <x v="1"/>
    <n v="1"/>
    <x v="0"/>
    <x v="2"/>
    <n v="1"/>
    <n v="1989"/>
    <n v="4"/>
    <x v="1"/>
    <n v="76"/>
    <n v="3"/>
    <n v="1"/>
    <x v="2"/>
    <n v="2"/>
    <x v="1"/>
    <n v="3748"/>
    <n v="4077"/>
    <n v="1"/>
    <s v="Y"/>
    <s v="No"/>
    <n v="13"/>
    <n v="3"/>
    <n v="3"/>
    <n v="80"/>
    <n v="0"/>
    <n v="12"/>
    <n v="6"/>
    <n v="2"/>
    <n v="12"/>
    <n v="8"/>
    <n v="1"/>
    <n v="7"/>
    <n v="0"/>
    <x v="2"/>
  </r>
  <r>
    <n v="25"/>
    <x v="1"/>
    <s v="Travel_Rarely"/>
    <n v="977"/>
    <x v="1"/>
    <n v="2"/>
    <x v="1"/>
    <x v="1"/>
    <n v="1"/>
    <n v="1992"/>
    <n v="4"/>
    <x v="1"/>
    <n v="57"/>
    <n v="3"/>
    <n v="1"/>
    <x v="2"/>
    <n v="3"/>
    <x v="2"/>
    <n v="3977"/>
    <n v="7298"/>
    <n v="6"/>
    <s v="Y"/>
    <s v="Yes"/>
    <n v="19"/>
    <n v="3"/>
    <n v="3"/>
    <n v="80"/>
    <n v="1"/>
    <n v="7"/>
    <n v="2"/>
    <n v="2"/>
    <n v="2"/>
    <n v="2"/>
    <n v="0"/>
    <n v="2"/>
    <n v="0"/>
    <x v="2"/>
  </r>
  <r>
    <n v="47"/>
    <x v="1"/>
    <s v="Travel_Rarely"/>
    <n v="1180"/>
    <x v="1"/>
    <n v="25"/>
    <x v="3"/>
    <x v="2"/>
    <n v="1"/>
    <n v="1993"/>
    <n v="1"/>
    <x v="1"/>
    <n v="84"/>
    <n v="3"/>
    <n v="3"/>
    <x v="4"/>
    <n v="3"/>
    <x v="0"/>
    <n v="8633"/>
    <n v="13084"/>
    <n v="2"/>
    <s v="Y"/>
    <s v="No"/>
    <n v="23"/>
    <n v="4"/>
    <n v="2"/>
    <n v="80"/>
    <n v="0"/>
    <n v="25"/>
    <n v="3"/>
    <n v="3"/>
    <n v="17"/>
    <n v="14"/>
    <n v="12"/>
    <n v="11"/>
    <n v="0"/>
    <x v="1"/>
  </r>
  <r>
    <n v="33"/>
    <x v="1"/>
    <s v="Non-Travel"/>
    <n v="1313"/>
    <x v="1"/>
    <n v="1"/>
    <x v="0"/>
    <x v="2"/>
    <n v="1"/>
    <n v="1994"/>
    <n v="2"/>
    <x v="1"/>
    <n v="59"/>
    <n v="2"/>
    <n v="1"/>
    <x v="2"/>
    <n v="3"/>
    <x v="2"/>
    <n v="2008"/>
    <n v="20439"/>
    <n v="1"/>
    <s v="Y"/>
    <s v="No"/>
    <n v="12"/>
    <n v="3"/>
    <n v="3"/>
    <n v="80"/>
    <n v="3"/>
    <n v="1"/>
    <n v="2"/>
    <n v="2"/>
    <n v="1"/>
    <n v="1"/>
    <n v="0"/>
    <n v="0"/>
    <n v="0"/>
    <x v="2"/>
  </r>
  <r>
    <n v="38"/>
    <x v="1"/>
    <s v="Travel_Rarely"/>
    <n v="1321"/>
    <x v="0"/>
    <n v="1"/>
    <x v="2"/>
    <x v="0"/>
    <n v="1"/>
    <n v="1995"/>
    <n v="4"/>
    <x v="1"/>
    <n v="86"/>
    <n v="3"/>
    <n v="2"/>
    <x v="0"/>
    <n v="2"/>
    <x v="1"/>
    <n v="4440"/>
    <n v="7636"/>
    <n v="0"/>
    <s v="Y"/>
    <s v="No"/>
    <n v="15"/>
    <n v="3"/>
    <n v="1"/>
    <n v="80"/>
    <n v="2"/>
    <n v="16"/>
    <n v="3"/>
    <n v="3"/>
    <n v="15"/>
    <n v="13"/>
    <n v="5"/>
    <n v="8"/>
    <n v="0"/>
    <x v="0"/>
  </r>
  <r>
    <n v="31"/>
    <x v="1"/>
    <s v="Travel_Rarely"/>
    <n v="1154"/>
    <x v="0"/>
    <n v="2"/>
    <x v="0"/>
    <x v="0"/>
    <n v="1"/>
    <n v="1996"/>
    <n v="1"/>
    <x v="1"/>
    <n v="54"/>
    <n v="3"/>
    <n v="1"/>
    <x v="6"/>
    <n v="3"/>
    <x v="1"/>
    <n v="3067"/>
    <n v="6393"/>
    <n v="0"/>
    <s v="Y"/>
    <s v="No"/>
    <n v="19"/>
    <n v="3"/>
    <n v="3"/>
    <n v="80"/>
    <n v="1"/>
    <n v="3"/>
    <n v="1"/>
    <n v="3"/>
    <n v="2"/>
    <n v="2"/>
    <n v="1"/>
    <n v="2"/>
    <n v="0"/>
    <x v="2"/>
  </r>
  <r>
    <n v="38"/>
    <x v="1"/>
    <s v="Travel_Frequently"/>
    <n v="508"/>
    <x v="1"/>
    <n v="6"/>
    <x v="2"/>
    <x v="0"/>
    <n v="1"/>
    <n v="1997"/>
    <n v="1"/>
    <x v="1"/>
    <n v="72"/>
    <n v="2"/>
    <n v="2"/>
    <x v="3"/>
    <n v="3"/>
    <x v="1"/>
    <n v="5321"/>
    <n v="14284"/>
    <n v="2"/>
    <s v="Y"/>
    <s v="No"/>
    <n v="11"/>
    <n v="3"/>
    <n v="4"/>
    <n v="80"/>
    <n v="1"/>
    <n v="10"/>
    <n v="1"/>
    <n v="3"/>
    <n v="8"/>
    <n v="3"/>
    <n v="7"/>
    <n v="7"/>
    <n v="0"/>
    <x v="0"/>
  </r>
  <r>
    <n v="42"/>
    <x v="1"/>
    <s v="Travel_Rarely"/>
    <n v="557"/>
    <x v="1"/>
    <n v="18"/>
    <x v="2"/>
    <x v="0"/>
    <n v="1"/>
    <n v="1998"/>
    <n v="4"/>
    <x v="1"/>
    <n v="35"/>
    <n v="3"/>
    <n v="2"/>
    <x v="1"/>
    <n v="1"/>
    <x v="2"/>
    <n v="5410"/>
    <n v="11189"/>
    <n v="6"/>
    <s v="Y"/>
    <s v="Yes"/>
    <n v="17"/>
    <n v="3"/>
    <n v="3"/>
    <n v="80"/>
    <n v="1"/>
    <n v="9"/>
    <n v="3"/>
    <n v="2"/>
    <n v="4"/>
    <n v="3"/>
    <n v="1"/>
    <n v="2"/>
    <n v="0"/>
    <x v="0"/>
  </r>
  <r>
    <n v="41"/>
    <x v="1"/>
    <s v="Travel_Rarely"/>
    <n v="642"/>
    <x v="1"/>
    <n v="1"/>
    <x v="3"/>
    <x v="0"/>
    <n v="1"/>
    <n v="1999"/>
    <n v="4"/>
    <x v="1"/>
    <n v="76"/>
    <n v="3"/>
    <n v="1"/>
    <x v="1"/>
    <n v="4"/>
    <x v="1"/>
    <n v="2782"/>
    <n v="21412"/>
    <n v="3"/>
    <s v="Y"/>
    <s v="No"/>
    <n v="22"/>
    <n v="4"/>
    <n v="1"/>
    <n v="80"/>
    <n v="1"/>
    <n v="12"/>
    <n v="3"/>
    <n v="3"/>
    <n v="5"/>
    <n v="3"/>
    <n v="1"/>
    <n v="0"/>
    <n v="0"/>
    <x v="0"/>
  </r>
  <r>
    <n v="47"/>
    <x v="1"/>
    <s v="Non-Travel"/>
    <n v="1162"/>
    <x v="1"/>
    <n v="1"/>
    <x v="1"/>
    <x v="2"/>
    <n v="1"/>
    <n v="2000"/>
    <n v="3"/>
    <x v="0"/>
    <n v="98"/>
    <n v="3"/>
    <n v="3"/>
    <x v="7"/>
    <n v="2"/>
    <x v="1"/>
    <n v="11957"/>
    <n v="17231"/>
    <n v="0"/>
    <s v="Y"/>
    <s v="No"/>
    <n v="18"/>
    <n v="3"/>
    <n v="1"/>
    <n v="80"/>
    <n v="2"/>
    <n v="14"/>
    <n v="3"/>
    <n v="1"/>
    <n v="13"/>
    <n v="8"/>
    <n v="5"/>
    <n v="12"/>
    <n v="0"/>
    <x v="1"/>
  </r>
  <r>
    <n v="35"/>
    <x v="1"/>
    <s v="Travel_Rarely"/>
    <n v="1490"/>
    <x v="1"/>
    <n v="11"/>
    <x v="2"/>
    <x v="2"/>
    <n v="1"/>
    <n v="2003"/>
    <n v="4"/>
    <x v="1"/>
    <n v="43"/>
    <n v="3"/>
    <n v="1"/>
    <x v="2"/>
    <n v="3"/>
    <x v="1"/>
    <n v="2660"/>
    <n v="20232"/>
    <n v="7"/>
    <s v="Y"/>
    <s v="Yes"/>
    <n v="11"/>
    <n v="3"/>
    <n v="3"/>
    <n v="80"/>
    <n v="1"/>
    <n v="5"/>
    <n v="3"/>
    <n v="3"/>
    <n v="2"/>
    <n v="2"/>
    <n v="2"/>
    <n v="2"/>
    <n v="0"/>
    <x v="0"/>
  </r>
  <r>
    <n v="22"/>
    <x v="1"/>
    <s v="Travel_Rarely"/>
    <n v="581"/>
    <x v="1"/>
    <n v="1"/>
    <x v="0"/>
    <x v="0"/>
    <n v="1"/>
    <n v="2007"/>
    <n v="4"/>
    <x v="1"/>
    <n v="63"/>
    <n v="3"/>
    <n v="1"/>
    <x v="1"/>
    <n v="3"/>
    <x v="0"/>
    <n v="3375"/>
    <n v="17624"/>
    <n v="0"/>
    <s v="Y"/>
    <s v="No"/>
    <n v="12"/>
    <n v="3"/>
    <n v="4"/>
    <n v="80"/>
    <n v="0"/>
    <n v="4"/>
    <n v="2"/>
    <n v="4"/>
    <n v="3"/>
    <n v="2"/>
    <n v="1"/>
    <n v="2"/>
    <n v="0"/>
    <x v="4"/>
  </r>
  <r>
    <n v="35"/>
    <x v="1"/>
    <s v="Travel_Rarely"/>
    <n v="1395"/>
    <x v="1"/>
    <n v="9"/>
    <x v="2"/>
    <x v="2"/>
    <n v="1"/>
    <n v="2008"/>
    <n v="2"/>
    <x v="1"/>
    <n v="48"/>
    <n v="3"/>
    <n v="2"/>
    <x v="1"/>
    <n v="3"/>
    <x v="0"/>
    <n v="5098"/>
    <n v="18698"/>
    <n v="1"/>
    <s v="Y"/>
    <s v="No"/>
    <n v="19"/>
    <n v="3"/>
    <n v="2"/>
    <n v="80"/>
    <n v="0"/>
    <n v="10"/>
    <n v="5"/>
    <n v="3"/>
    <n v="10"/>
    <n v="7"/>
    <n v="0"/>
    <n v="8"/>
    <n v="0"/>
    <x v="0"/>
  </r>
  <r>
    <n v="33"/>
    <x v="1"/>
    <s v="Travel_Rarely"/>
    <n v="501"/>
    <x v="1"/>
    <n v="15"/>
    <x v="0"/>
    <x v="2"/>
    <n v="1"/>
    <n v="2009"/>
    <n v="2"/>
    <x v="0"/>
    <n v="95"/>
    <n v="3"/>
    <n v="2"/>
    <x v="4"/>
    <n v="4"/>
    <x v="1"/>
    <n v="4878"/>
    <n v="21653"/>
    <n v="0"/>
    <s v="Y"/>
    <s v="Yes"/>
    <n v="13"/>
    <n v="3"/>
    <n v="1"/>
    <n v="80"/>
    <n v="1"/>
    <n v="10"/>
    <n v="6"/>
    <n v="3"/>
    <n v="9"/>
    <n v="7"/>
    <n v="8"/>
    <n v="1"/>
    <n v="0"/>
    <x v="2"/>
  </r>
  <r>
    <n v="32"/>
    <x v="1"/>
    <s v="Travel_Rarely"/>
    <n v="267"/>
    <x v="1"/>
    <n v="29"/>
    <x v="2"/>
    <x v="0"/>
    <n v="1"/>
    <n v="2010"/>
    <n v="3"/>
    <x v="0"/>
    <n v="49"/>
    <n v="2"/>
    <n v="1"/>
    <x v="2"/>
    <n v="2"/>
    <x v="0"/>
    <n v="2837"/>
    <n v="15919"/>
    <n v="1"/>
    <s v="Y"/>
    <s v="No"/>
    <n v="13"/>
    <n v="3"/>
    <n v="3"/>
    <n v="80"/>
    <n v="0"/>
    <n v="6"/>
    <n v="3"/>
    <n v="3"/>
    <n v="6"/>
    <n v="2"/>
    <n v="4"/>
    <n v="1"/>
    <n v="0"/>
    <x v="2"/>
  </r>
  <r>
    <n v="40"/>
    <x v="1"/>
    <s v="Travel_Rarely"/>
    <n v="543"/>
    <x v="1"/>
    <n v="1"/>
    <x v="2"/>
    <x v="0"/>
    <n v="1"/>
    <n v="2012"/>
    <n v="1"/>
    <x v="1"/>
    <n v="83"/>
    <n v="3"/>
    <n v="1"/>
    <x v="2"/>
    <n v="4"/>
    <x v="1"/>
    <n v="2406"/>
    <n v="4060"/>
    <n v="8"/>
    <s v="Y"/>
    <s v="No"/>
    <n v="19"/>
    <n v="3"/>
    <n v="3"/>
    <n v="80"/>
    <n v="2"/>
    <n v="8"/>
    <n v="3"/>
    <n v="2"/>
    <n v="1"/>
    <n v="0"/>
    <n v="0"/>
    <n v="0"/>
    <n v="0"/>
    <x v="0"/>
  </r>
  <r>
    <n v="32"/>
    <x v="1"/>
    <s v="Travel_Rarely"/>
    <n v="234"/>
    <x v="0"/>
    <n v="1"/>
    <x v="2"/>
    <x v="2"/>
    <n v="1"/>
    <n v="2013"/>
    <n v="2"/>
    <x v="1"/>
    <n v="68"/>
    <n v="2"/>
    <n v="1"/>
    <x v="6"/>
    <n v="2"/>
    <x v="1"/>
    <n v="2269"/>
    <n v="18024"/>
    <n v="0"/>
    <s v="Y"/>
    <s v="No"/>
    <n v="14"/>
    <n v="3"/>
    <n v="2"/>
    <n v="80"/>
    <n v="1"/>
    <n v="3"/>
    <n v="2"/>
    <n v="3"/>
    <n v="2"/>
    <n v="2"/>
    <n v="2"/>
    <n v="2"/>
    <n v="0"/>
    <x v="2"/>
  </r>
  <r>
    <n v="39"/>
    <x v="1"/>
    <s v="Travel_Rarely"/>
    <n v="116"/>
    <x v="1"/>
    <n v="24"/>
    <x v="1"/>
    <x v="0"/>
    <n v="1"/>
    <n v="2014"/>
    <n v="1"/>
    <x v="1"/>
    <n v="52"/>
    <n v="3"/>
    <n v="2"/>
    <x v="1"/>
    <n v="4"/>
    <x v="0"/>
    <n v="4108"/>
    <n v="5340"/>
    <n v="7"/>
    <s v="Y"/>
    <s v="No"/>
    <n v="13"/>
    <n v="3"/>
    <n v="1"/>
    <n v="80"/>
    <n v="0"/>
    <n v="18"/>
    <n v="2"/>
    <n v="3"/>
    <n v="7"/>
    <n v="7"/>
    <n v="1"/>
    <n v="7"/>
    <n v="0"/>
    <x v="0"/>
  </r>
  <r>
    <n v="38"/>
    <x v="1"/>
    <s v="Travel_Rarely"/>
    <n v="201"/>
    <x v="1"/>
    <n v="10"/>
    <x v="3"/>
    <x v="2"/>
    <n v="1"/>
    <n v="2015"/>
    <n v="2"/>
    <x v="0"/>
    <n v="99"/>
    <n v="1"/>
    <n v="3"/>
    <x v="7"/>
    <n v="3"/>
    <x v="1"/>
    <n v="13206"/>
    <n v="3376"/>
    <n v="3"/>
    <s v="Y"/>
    <s v="No"/>
    <n v="12"/>
    <n v="3"/>
    <n v="1"/>
    <n v="80"/>
    <n v="1"/>
    <n v="20"/>
    <n v="3"/>
    <n v="3"/>
    <n v="18"/>
    <n v="16"/>
    <n v="1"/>
    <n v="11"/>
    <n v="0"/>
    <x v="0"/>
  </r>
  <r>
    <n v="32"/>
    <x v="1"/>
    <s v="Travel_Rarely"/>
    <n v="801"/>
    <x v="0"/>
    <n v="1"/>
    <x v="2"/>
    <x v="3"/>
    <n v="1"/>
    <n v="2016"/>
    <n v="3"/>
    <x v="0"/>
    <n v="48"/>
    <n v="3"/>
    <n v="3"/>
    <x v="0"/>
    <n v="4"/>
    <x v="1"/>
    <n v="10422"/>
    <n v="24032"/>
    <n v="1"/>
    <s v="Y"/>
    <s v="No"/>
    <n v="19"/>
    <n v="3"/>
    <n v="3"/>
    <n v="80"/>
    <n v="2"/>
    <n v="14"/>
    <n v="3"/>
    <n v="3"/>
    <n v="14"/>
    <n v="10"/>
    <n v="5"/>
    <n v="7"/>
    <n v="0"/>
    <x v="2"/>
  </r>
  <r>
    <n v="37"/>
    <x v="1"/>
    <s v="Travel_Rarely"/>
    <n v="161"/>
    <x v="1"/>
    <n v="10"/>
    <x v="3"/>
    <x v="0"/>
    <n v="1"/>
    <n v="2017"/>
    <n v="3"/>
    <x v="0"/>
    <n v="42"/>
    <n v="4"/>
    <n v="3"/>
    <x v="7"/>
    <n v="4"/>
    <x v="1"/>
    <n v="13744"/>
    <n v="15471"/>
    <n v="1"/>
    <s v="Y"/>
    <s v="Yes"/>
    <n v="25"/>
    <n v="4"/>
    <n v="1"/>
    <n v="80"/>
    <n v="1"/>
    <n v="16"/>
    <n v="2"/>
    <n v="3"/>
    <n v="16"/>
    <n v="11"/>
    <n v="6"/>
    <n v="8"/>
    <n v="0"/>
    <x v="0"/>
  </r>
  <r>
    <n v="25"/>
    <x v="1"/>
    <s v="Travel_Rarely"/>
    <n v="1382"/>
    <x v="0"/>
    <n v="8"/>
    <x v="0"/>
    <x v="1"/>
    <n v="1"/>
    <n v="2018"/>
    <n v="1"/>
    <x v="0"/>
    <n v="85"/>
    <n v="3"/>
    <n v="2"/>
    <x v="0"/>
    <n v="3"/>
    <x v="2"/>
    <n v="4907"/>
    <n v="13684"/>
    <n v="0"/>
    <s v="Y"/>
    <s v="Yes"/>
    <n v="22"/>
    <n v="4"/>
    <n v="2"/>
    <n v="80"/>
    <n v="1"/>
    <n v="6"/>
    <n v="3"/>
    <n v="2"/>
    <n v="5"/>
    <n v="3"/>
    <n v="0"/>
    <n v="4"/>
    <n v="0"/>
    <x v="2"/>
  </r>
  <r>
    <n v="52"/>
    <x v="1"/>
    <s v="Non-Travel"/>
    <n v="585"/>
    <x v="0"/>
    <n v="29"/>
    <x v="2"/>
    <x v="0"/>
    <n v="1"/>
    <n v="2019"/>
    <n v="1"/>
    <x v="1"/>
    <n v="40"/>
    <n v="3"/>
    <n v="1"/>
    <x v="6"/>
    <n v="4"/>
    <x v="2"/>
    <n v="3482"/>
    <n v="19788"/>
    <n v="2"/>
    <s v="Y"/>
    <s v="No"/>
    <n v="15"/>
    <n v="3"/>
    <n v="2"/>
    <n v="80"/>
    <n v="2"/>
    <n v="16"/>
    <n v="3"/>
    <n v="2"/>
    <n v="9"/>
    <n v="8"/>
    <n v="0"/>
    <n v="0"/>
    <n v="0"/>
    <x v="1"/>
  </r>
  <r>
    <n v="44"/>
    <x v="1"/>
    <s v="Travel_Rarely"/>
    <n v="1037"/>
    <x v="1"/>
    <n v="1"/>
    <x v="3"/>
    <x v="2"/>
    <n v="1"/>
    <n v="2020"/>
    <n v="2"/>
    <x v="1"/>
    <n v="42"/>
    <n v="3"/>
    <n v="1"/>
    <x v="1"/>
    <n v="4"/>
    <x v="0"/>
    <n v="2436"/>
    <n v="13422"/>
    <n v="6"/>
    <s v="Y"/>
    <s v="Yes"/>
    <n v="12"/>
    <n v="3"/>
    <n v="3"/>
    <n v="80"/>
    <n v="0"/>
    <n v="6"/>
    <n v="2"/>
    <n v="3"/>
    <n v="4"/>
    <n v="3"/>
    <n v="1"/>
    <n v="2"/>
    <n v="0"/>
    <x v="0"/>
  </r>
  <r>
    <n v="21"/>
    <x v="1"/>
    <s v="Travel_Rarely"/>
    <n v="501"/>
    <x v="0"/>
    <n v="5"/>
    <x v="1"/>
    <x v="2"/>
    <n v="1"/>
    <n v="2021"/>
    <n v="3"/>
    <x v="1"/>
    <n v="58"/>
    <n v="3"/>
    <n v="1"/>
    <x v="6"/>
    <n v="1"/>
    <x v="0"/>
    <n v="2380"/>
    <n v="25479"/>
    <n v="1"/>
    <s v="Y"/>
    <s v="Yes"/>
    <n v="11"/>
    <n v="3"/>
    <n v="4"/>
    <n v="80"/>
    <n v="0"/>
    <n v="2"/>
    <n v="6"/>
    <n v="3"/>
    <n v="2"/>
    <n v="2"/>
    <n v="1"/>
    <n v="2"/>
    <n v="0"/>
    <x v="4"/>
  </r>
  <r>
    <n v="39"/>
    <x v="1"/>
    <s v="Non-Travel"/>
    <n v="105"/>
    <x v="1"/>
    <n v="9"/>
    <x v="3"/>
    <x v="0"/>
    <n v="1"/>
    <n v="2022"/>
    <n v="4"/>
    <x v="1"/>
    <n v="87"/>
    <n v="3"/>
    <n v="5"/>
    <x v="5"/>
    <n v="4"/>
    <x v="0"/>
    <n v="19431"/>
    <n v="15302"/>
    <n v="2"/>
    <s v="Y"/>
    <s v="No"/>
    <n v="13"/>
    <n v="3"/>
    <n v="3"/>
    <n v="80"/>
    <n v="0"/>
    <n v="21"/>
    <n v="3"/>
    <n v="2"/>
    <n v="6"/>
    <n v="0"/>
    <n v="1"/>
    <n v="3"/>
    <n v="0"/>
    <x v="0"/>
  </r>
  <r>
    <n v="23"/>
    <x v="0"/>
    <s v="Travel_Frequently"/>
    <n v="638"/>
    <x v="0"/>
    <n v="9"/>
    <x v="3"/>
    <x v="3"/>
    <n v="1"/>
    <n v="2023"/>
    <n v="4"/>
    <x v="1"/>
    <n v="33"/>
    <n v="3"/>
    <n v="1"/>
    <x v="6"/>
    <n v="1"/>
    <x v="1"/>
    <n v="1790"/>
    <n v="26956"/>
    <n v="1"/>
    <s v="Y"/>
    <s v="No"/>
    <n v="19"/>
    <n v="3"/>
    <n v="1"/>
    <n v="80"/>
    <n v="1"/>
    <n v="1"/>
    <n v="3"/>
    <n v="2"/>
    <n v="1"/>
    <n v="0"/>
    <n v="1"/>
    <n v="0"/>
    <n v="1"/>
    <x v="4"/>
  </r>
  <r>
    <n v="36"/>
    <x v="1"/>
    <s v="Travel_Rarely"/>
    <n v="557"/>
    <x v="0"/>
    <n v="3"/>
    <x v="3"/>
    <x v="2"/>
    <n v="1"/>
    <n v="2024"/>
    <n v="1"/>
    <x v="0"/>
    <n v="94"/>
    <n v="2"/>
    <n v="3"/>
    <x v="0"/>
    <n v="4"/>
    <x v="1"/>
    <n v="7644"/>
    <n v="12695"/>
    <n v="0"/>
    <s v="Y"/>
    <s v="No"/>
    <n v="19"/>
    <n v="3"/>
    <n v="3"/>
    <n v="80"/>
    <n v="2"/>
    <n v="10"/>
    <n v="2"/>
    <n v="3"/>
    <n v="9"/>
    <n v="7"/>
    <n v="3"/>
    <n v="4"/>
    <n v="0"/>
    <x v="0"/>
  </r>
  <r>
    <n v="36"/>
    <x v="1"/>
    <s v="Travel_Frequently"/>
    <n v="688"/>
    <x v="1"/>
    <n v="4"/>
    <x v="0"/>
    <x v="0"/>
    <n v="1"/>
    <n v="2025"/>
    <n v="4"/>
    <x v="0"/>
    <n v="97"/>
    <n v="3"/>
    <n v="2"/>
    <x v="3"/>
    <n v="2"/>
    <x v="2"/>
    <n v="5131"/>
    <n v="9192"/>
    <n v="7"/>
    <s v="Y"/>
    <s v="No"/>
    <n v="13"/>
    <n v="3"/>
    <n v="2"/>
    <n v="80"/>
    <n v="3"/>
    <n v="18"/>
    <n v="3"/>
    <n v="3"/>
    <n v="4"/>
    <n v="2"/>
    <n v="0"/>
    <n v="2"/>
    <n v="0"/>
    <x v="0"/>
  </r>
  <r>
    <n v="56"/>
    <x v="1"/>
    <s v="Non-Travel"/>
    <n v="667"/>
    <x v="1"/>
    <n v="1"/>
    <x v="2"/>
    <x v="0"/>
    <n v="1"/>
    <n v="2026"/>
    <n v="3"/>
    <x v="1"/>
    <n v="57"/>
    <n v="3"/>
    <n v="2"/>
    <x v="4"/>
    <n v="3"/>
    <x v="2"/>
    <n v="6306"/>
    <n v="26236"/>
    <n v="1"/>
    <s v="Y"/>
    <s v="No"/>
    <n v="21"/>
    <n v="4"/>
    <n v="1"/>
    <n v="80"/>
    <n v="1"/>
    <n v="13"/>
    <n v="2"/>
    <n v="2"/>
    <n v="13"/>
    <n v="12"/>
    <n v="1"/>
    <n v="9"/>
    <n v="0"/>
    <x v="3"/>
  </r>
  <r>
    <n v="29"/>
    <x v="0"/>
    <s v="Travel_Rarely"/>
    <n v="1092"/>
    <x v="1"/>
    <n v="1"/>
    <x v="2"/>
    <x v="2"/>
    <n v="1"/>
    <n v="2027"/>
    <n v="1"/>
    <x v="1"/>
    <n v="36"/>
    <n v="3"/>
    <n v="1"/>
    <x v="1"/>
    <n v="4"/>
    <x v="1"/>
    <n v="4787"/>
    <n v="26124"/>
    <n v="9"/>
    <s v="Y"/>
    <s v="Yes"/>
    <n v="14"/>
    <n v="3"/>
    <n v="2"/>
    <n v="80"/>
    <n v="3"/>
    <n v="4"/>
    <n v="3"/>
    <n v="4"/>
    <n v="2"/>
    <n v="2"/>
    <n v="2"/>
    <n v="2"/>
    <n v="1"/>
    <x v="2"/>
  </r>
  <r>
    <n v="42"/>
    <x v="1"/>
    <s v="Travel_Rarely"/>
    <n v="300"/>
    <x v="1"/>
    <n v="2"/>
    <x v="3"/>
    <x v="0"/>
    <n v="1"/>
    <n v="2031"/>
    <n v="1"/>
    <x v="1"/>
    <n v="56"/>
    <n v="3"/>
    <n v="5"/>
    <x v="5"/>
    <n v="3"/>
    <x v="1"/>
    <n v="18880"/>
    <n v="17312"/>
    <n v="5"/>
    <s v="Y"/>
    <s v="No"/>
    <n v="11"/>
    <n v="3"/>
    <n v="1"/>
    <n v="80"/>
    <n v="0"/>
    <n v="24"/>
    <n v="2"/>
    <n v="2"/>
    <n v="22"/>
    <n v="6"/>
    <n v="4"/>
    <n v="14"/>
    <n v="0"/>
    <x v="0"/>
  </r>
  <r>
    <n v="56"/>
    <x v="0"/>
    <s v="Travel_Rarely"/>
    <n v="310"/>
    <x v="1"/>
    <n v="7"/>
    <x v="0"/>
    <x v="4"/>
    <n v="1"/>
    <n v="2032"/>
    <n v="4"/>
    <x v="1"/>
    <n v="72"/>
    <n v="3"/>
    <n v="1"/>
    <x v="2"/>
    <n v="3"/>
    <x v="1"/>
    <n v="2339"/>
    <n v="3666"/>
    <n v="8"/>
    <s v="Y"/>
    <s v="No"/>
    <n v="11"/>
    <n v="3"/>
    <n v="4"/>
    <n v="80"/>
    <n v="1"/>
    <n v="14"/>
    <n v="4"/>
    <n v="1"/>
    <n v="10"/>
    <n v="9"/>
    <n v="9"/>
    <n v="8"/>
    <n v="1"/>
    <x v="3"/>
  </r>
  <r>
    <n v="41"/>
    <x v="1"/>
    <s v="Travel_Rarely"/>
    <n v="582"/>
    <x v="1"/>
    <n v="28"/>
    <x v="2"/>
    <x v="0"/>
    <n v="1"/>
    <n v="2034"/>
    <n v="1"/>
    <x v="0"/>
    <n v="60"/>
    <n v="2"/>
    <n v="4"/>
    <x v="3"/>
    <n v="2"/>
    <x v="1"/>
    <n v="13570"/>
    <n v="5640"/>
    <n v="0"/>
    <s v="Y"/>
    <s v="No"/>
    <n v="23"/>
    <n v="4"/>
    <n v="3"/>
    <n v="80"/>
    <n v="1"/>
    <n v="21"/>
    <n v="3"/>
    <n v="3"/>
    <n v="20"/>
    <n v="7"/>
    <n v="0"/>
    <n v="10"/>
    <n v="0"/>
    <x v="0"/>
  </r>
  <r>
    <n v="34"/>
    <x v="1"/>
    <s v="Travel_Rarely"/>
    <n v="704"/>
    <x v="0"/>
    <n v="28"/>
    <x v="3"/>
    <x v="3"/>
    <n v="1"/>
    <n v="2035"/>
    <n v="4"/>
    <x v="0"/>
    <n v="95"/>
    <n v="2"/>
    <n v="2"/>
    <x v="0"/>
    <n v="3"/>
    <x v="1"/>
    <n v="6712"/>
    <n v="8978"/>
    <n v="1"/>
    <s v="Y"/>
    <s v="No"/>
    <n v="21"/>
    <n v="4"/>
    <n v="4"/>
    <n v="80"/>
    <n v="2"/>
    <n v="8"/>
    <n v="2"/>
    <n v="3"/>
    <n v="8"/>
    <n v="7"/>
    <n v="1"/>
    <n v="7"/>
    <n v="0"/>
    <x v="2"/>
  </r>
  <r>
    <n v="36"/>
    <x v="1"/>
    <s v="Non-Travel"/>
    <n v="301"/>
    <x v="0"/>
    <n v="15"/>
    <x v="2"/>
    <x v="3"/>
    <n v="1"/>
    <n v="2036"/>
    <n v="4"/>
    <x v="1"/>
    <n v="88"/>
    <n v="1"/>
    <n v="2"/>
    <x v="0"/>
    <n v="4"/>
    <x v="2"/>
    <n v="5406"/>
    <n v="10436"/>
    <n v="1"/>
    <s v="Y"/>
    <s v="No"/>
    <n v="24"/>
    <n v="4"/>
    <n v="1"/>
    <n v="80"/>
    <n v="1"/>
    <n v="15"/>
    <n v="4"/>
    <n v="2"/>
    <n v="15"/>
    <n v="12"/>
    <n v="11"/>
    <n v="11"/>
    <n v="0"/>
    <x v="0"/>
  </r>
  <r>
    <n v="41"/>
    <x v="1"/>
    <s v="Travel_Rarely"/>
    <n v="930"/>
    <x v="0"/>
    <n v="3"/>
    <x v="3"/>
    <x v="0"/>
    <n v="1"/>
    <n v="2037"/>
    <n v="3"/>
    <x v="1"/>
    <n v="57"/>
    <n v="2"/>
    <n v="2"/>
    <x v="0"/>
    <n v="2"/>
    <x v="2"/>
    <n v="8938"/>
    <n v="12227"/>
    <n v="2"/>
    <s v="Y"/>
    <s v="No"/>
    <n v="11"/>
    <n v="3"/>
    <n v="3"/>
    <n v="80"/>
    <n v="1"/>
    <n v="14"/>
    <n v="5"/>
    <n v="3"/>
    <n v="5"/>
    <n v="4"/>
    <n v="0"/>
    <n v="4"/>
    <n v="0"/>
    <x v="0"/>
  </r>
  <r>
    <n v="32"/>
    <x v="1"/>
    <s v="Travel_Rarely"/>
    <n v="529"/>
    <x v="1"/>
    <n v="2"/>
    <x v="3"/>
    <x v="4"/>
    <n v="1"/>
    <n v="2038"/>
    <n v="4"/>
    <x v="1"/>
    <n v="78"/>
    <n v="3"/>
    <n v="1"/>
    <x v="1"/>
    <n v="1"/>
    <x v="0"/>
    <n v="2439"/>
    <n v="11288"/>
    <n v="1"/>
    <s v="Y"/>
    <s v="No"/>
    <n v="14"/>
    <n v="3"/>
    <n v="4"/>
    <n v="80"/>
    <n v="0"/>
    <n v="4"/>
    <n v="4"/>
    <n v="3"/>
    <n v="4"/>
    <n v="2"/>
    <n v="1"/>
    <n v="2"/>
    <n v="0"/>
    <x v="2"/>
  </r>
  <r>
    <n v="35"/>
    <x v="1"/>
    <s v="Travel_Rarely"/>
    <n v="1146"/>
    <x v="2"/>
    <n v="26"/>
    <x v="2"/>
    <x v="0"/>
    <n v="1"/>
    <n v="2040"/>
    <n v="3"/>
    <x v="0"/>
    <n v="31"/>
    <n v="3"/>
    <n v="3"/>
    <x v="8"/>
    <n v="4"/>
    <x v="0"/>
    <n v="8837"/>
    <n v="16642"/>
    <n v="1"/>
    <s v="Y"/>
    <s v="Yes"/>
    <n v="16"/>
    <n v="3"/>
    <n v="3"/>
    <n v="80"/>
    <n v="0"/>
    <n v="9"/>
    <n v="2"/>
    <n v="3"/>
    <n v="9"/>
    <n v="0"/>
    <n v="1"/>
    <n v="7"/>
    <n v="0"/>
    <x v="0"/>
  </r>
  <r>
    <n v="38"/>
    <x v="1"/>
    <s v="Travel_Rarely"/>
    <n v="345"/>
    <x v="0"/>
    <n v="10"/>
    <x v="0"/>
    <x v="0"/>
    <n v="1"/>
    <n v="2041"/>
    <n v="1"/>
    <x v="0"/>
    <n v="100"/>
    <n v="3"/>
    <n v="2"/>
    <x v="0"/>
    <n v="4"/>
    <x v="1"/>
    <n v="5343"/>
    <n v="5982"/>
    <n v="1"/>
    <s v="Y"/>
    <s v="No"/>
    <n v="11"/>
    <n v="3"/>
    <n v="3"/>
    <n v="80"/>
    <n v="1"/>
    <n v="10"/>
    <n v="1"/>
    <n v="3"/>
    <n v="10"/>
    <n v="7"/>
    <n v="1"/>
    <n v="9"/>
    <n v="0"/>
    <x v="0"/>
  </r>
  <r>
    <n v="50"/>
    <x v="0"/>
    <s v="Travel_Frequently"/>
    <n v="878"/>
    <x v="0"/>
    <n v="1"/>
    <x v="2"/>
    <x v="0"/>
    <n v="1"/>
    <n v="2044"/>
    <n v="2"/>
    <x v="1"/>
    <n v="94"/>
    <n v="3"/>
    <n v="2"/>
    <x v="0"/>
    <n v="3"/>
    <x v="2"/>
    <n v="6728"/>
    <n v="14255"/>
    <n v="7"/>
    <s v="Y"/>
    <s v="No"/>
    <n v="12"/>
    <n v="3"/>
    <n v="4"/>
    <n v="80"/>
    <n v="2"/>
    <n v="12"/>
    <n v="3"/>
    <n v="3"/>
    <n v="6"/>
    <n v="3"/>
    <n v="0"/>
    <n v="1"/>
    <n v="1"/>
    <x v="1"/>
  </r>
  <r>
    <n v="36"/>
    <x v="1"/>
    <s v="Travel_Rarely"/>
    <n v="1120"/>
    <x v="0"/>
    <n v="11"/>
    <x v="2"/>
    <x v="3"/>
    <n v="1"/>
    <n v="2045"/>
    <n v="2"/>
    <x v="0"/>
    <n v="100"/>
    <n v="2"/>
    <n v="2"/>
    <x v="0"/>
    <n v="4"/>
    <x v="1"/>
    <n v="6652"/>
    <n v="14369"/>
    <n v="4"/>
    <s v="Y"/>
    <s v="No"/>
    <n v="13"/>
    <n v="3"/>
    <n v="1"/>
    <n v="80"/>
    <n v="1"/>
    <n v="8"/>
    <n v="2"/>
    <n v="2"/>
    <n v="6"/>
    <n v="3"/>
    <n v="0"/>
    <n v="0"/>
    <n v="0"/>
    <x v="0"/>
  </r>
  <r>
    <n v="45"/>
    <x v="1"/>
    <s v="Travel_Rarely"/>
    <n v="374"/>
    <x v="0"/>
    <n v="20"/>
    <x v="3"/>
    <x v="0"/>
    <n v="1"/>
    <n v="2046"/>
    <n v="4"/>
    <x v="0"/>
    <n v="50"/>
    <n v="3"/>
    <n v="2"/>
    <x v="0"/>
    <n v="3"/>
    <x v="0"/>
    <n v="4850"/>
    <n v="23333"/>
    <n v="8"/>
    <s v="Y"/>
    <s v="No"/>
    <n v="15"/>
    <n v="3"/>
    <n v="3"/>
    <n v="80"/>
    <n v="0"/>
    <n v="8"/>
    <n v="3"/>
    <n v="3"/>
    <n v="5"/>
    <n v="3"/>
    <n v="0"/>
    <n v="1"/>
    <n v="0"/>
    <x v="1"/>
  </r>
  <r>
    <n v="40"/>
    <x v="1"/>
    <s v="Travel_Rarely"/>
    <n v="1322"/>
    <x v="1"/>
    <n v="2"/>
    <x v="2"/>
    <x v="0"/>
    <n v="1"/>
    <n v="2048"/>
    <n v="3"/>
    <x v="1"/>
    <n v="52"/>
    <n v="2"/>
    <n v="1"/>
    <x v="1"/>
    <n v="3"/>
    <x v="0"/>
    <n v="2809"/>
    <n v="2725"/>
    <n v="2"/>
    <s v="Y"/>
    <s v="No"/>
    <n v="14"/>
    <n v="3"/>
    <n v="4"/>
    <n v="80"/>
    <n v="0"/>
    <n v="8"/>
    <n v="2"/>
    <n v="3"/>
    <n v="2"/>
    <n v="2"/>
    <n v="2"/>
    <n v="2"/>
    <n v="0"/>
    <x v="0"/>
  </r>
  <r>
    <n v="35"/>
    <x v="1"/>
    <s v="Travel_Frequently"/>
    <n v="1199"/>
    <x v="1"/>
    <n v="18"/>
    <x v="2"/>
    <x v="0"/>
    <n v="1"/>
    <n v="2049"/>
    <n v="3"/>
    <x v="1"/>
    <n v="80"/>
    <n v="3"/>
    <n v="2"/>
    <x v="4"/>
    <n v="3"/>
    <x v="1"/>
    <n v="5689"/>
    <n v="24594"/>
    <n v="1"/>
    <s v="Y"/>
    <s v="Yes"/>
    <n v="14"/>
    <n v="3"/>
    <n v="4"/>
    <n v="80"/>
    <n v="2"/>
    <n v="10"/>
    <n v="2"/>
    <n v="4"/>
    <n v="10"/>
    <n v="2"/>
    <n v="0"/>
    <n v="2"/>
    <n v="0"/>
    <x v="0"/>
  </r>
  <r>
    <n v="40"/>
    <x v="1"/>
    <s v="Travel_Rarely"/>
    <n v="1194"/>
    <x v="1"/>
    <n v="2"/>
    <x v="2"/>
    <x v="2"/>
    <n v="1"/>
    <n v="2051"/>
    <n v="3"/>
    <x v="0"/>
    <n v="98"/>
    <n v="3"/>
    <n v="1"/>
    <x v="1"/>
    <n v="3"/>
    <x v="1"/>
    <n v="2001"/>
    <n v="12549"/>
    <n v="2"/>
    <s v="Y"/>
    <s v="No"/>
    <n v="14"/>
    <n v="3"/>
    <n v="2"/>
    <n v="80"/>
    <n v="3"/>
    <n v="20"/>
    <n v="2"/>
    <n v="3"/>
    <n v="5"/>
    <n v="3"/>
    <n v="0"/>
    <n v="2"/>
    <n v="0"/>
    <x v="0"/>
  </r>
  <r>
    <n v="35"/>
    <x v="1"/>
    <s v="Travel_Rarely"/>
    <n v="287"/>
    <x v="1"/>
    <n v="1"/>
    <x v="2"/>
    <x v="0"/>
    <n v="1"/>
    <n v="2052"/>
    <n v="3"/>
    <x v="0"/>
    <n v="62"/>
    <n v="1"/>
    <n v="1"/>
    <x v="1"/>
    <n v="4"/>
    <x v="1"/>
    <n v="2977"/>
    <n v="8952"/>
    <n v="1"/>
    <s v="Y"/>
    <s v="No"/>
    <n v="12"/>
    <n v="3"/>
    <n v="4"/>
    <n v="80"/>
    <n v="1"/>
    <n v="4"/>
    <n v="5"/>
    <n v="3"/>
    <n v="4"/>
    <n v="3"/>
    <n v="1"/>
    <n v="1"/>
    <n v="0"/>
    <x v="0"/>
  </r>
  <r>
    <n v="29"/>
    <x v="1"/>
    <s v="Travel_Rarely"/>
    <n v="1378"/>
    <x v="1"/>
    <n v="13"/>
    <x v="0"/>
    <x v="1"/>
    <n v="1"/>
    <n v="2053"/>
    <n v="4"/>
    <x v="1"/>
    <n v="46"/>
    <n v="2"/>
    <n v="2"/>
    <x v="2"/>
    <n v="2"/>
    <x v="1"/>
    <n v="4025"/>
    <n v="23679"/>
    <n v="4"/>
    <s v="Y"/>
    <s v="Yes"/>
    <n v="13"/>
    <n v="3"/>
    <n v="1"/>
    <n v="80"/>
    <n v="1"/>
    <n v="10"/>
    <n v="2"/>
    <n v="3"/>
    <n v="4"/>
    <n v="3"/>
    <n v="0"/>
    <n v="3"/>
    <n v="0"/>
    <x v="2"/>
  </r>
  <r>
    <n v="29"/>
    <x v="1"/>
    <s v="Travel_Rarely"/>
    <n v="468"/>
    <x v="1"/>
    <n v="28"/>
    <x v="2"/>
    <x v="2"/>
    <n v="1"/>
    <n v="2054"/>
    <n v="4"/>
    <x v="0"/>
    <n v="73"/>
    <n v="2"/>
    <n v="1"/>
    <x v="1"/>
    <n v="1"/>
    <x v="0"/>
    <n v="3785"/>
    <n v="8489"/>
    <n v="1"/>
    <s v="Y"/>
    <s v="No"/>
    <n v="14"/>
    <n v="3"/>
    <n v="2"/>
    <n v="80"/>
    <n v="0"/>
    <n v="5"/>
    <n v="3"/>
    <n v="1"/>
    <n v="5"/>
    <n v="4"/>
    <n v="0"/>
    <n v="4"/>
    <n v="0"/>
    <x v="2"/>
  </r>
  <r>
    <n v="50"/>
    <x v="0"/>
    <s v="Travel_Rarely"/>
    <n v="410"/>
    <x v="0"/>
    <n v="28"/>
    <x v="3"/>
    <x v="3"/>
    <n v="1"/>
    <n v="2055"/>
    <n v="4"/>
    <x v="1"/>
    <n v="39"/>
    <n v="2"/>
    <n v="3"/>
    <x v="0"/>
    <n v="1"/>
    <x v="2"/>
    <n v="10854"/>
    <n v="16586"/>
    <n v="4"/>
    <s v="Y"/>
    <s v="Yes"/>
    <n v="13"/>
    <n v="3"/>
    <n v="2"/>
    <n v="80"/>
    <n v="1"/>
    <n v="20"/>
    <n v="3"/>
    <n v="3"/>
    <n v="3"/>
    <n v="2"/>
    <n v="2"/>
    <n v="0"/>
    <n v="1"/>
    <x v="1"/>
  </r>
  <r>
    <n v="39"/>
    <x v="1"/>
    <s v="Travel_Rarely"/>
    <n v="722"/>
    <x v="0"/>
    <n v="24"/>
    <x v="1"/>
    <x v="3"/>
    <n v="1"/>
    <n v="2056"/>
    <n v="2"/>
    <x v="0"/>
    <n v="60"/>
    <n v="2"/>
    <n v="4"/>
    <x v="0"/>
    <n v="4"/>
    <x v="1"/>
    <n v="12031"/>
    <n v="8828"/>
    <n v="0"/>
    <s v="Y"/>
    <s v="No"/>
    <n v="11"/>
    <n v="3"/>
    <n v="1"/>
    <n v="80"/>
    <n v="1"/>
    <n v="21"/>
    <n v="2"/>
    <n v="2"/>
    <n v="20"/>
    <n v="9"/>
    <n v="9"/>
    <n v="6"/>
    <n v="0"/>
    <x v="0"/>
  </r>
  <r>
    <n v="31"/>
    <x v="1"/>
    <s v="Non-Travel"/>
    <n v="325"/>
    <x v="1"/>
    <n v="5"/>
    <x v="3"/>
    <x v="2"/>
    <n v="1"/>
    <n v="2057"/>
    <n v="2"/>
    <x v="1"/>
    <n v="74"/>
    <n v="3"/>
    <n v="2"/>
    <x v="3"/>
    <n v="1"/>
    <x v="0"/>
    <n v="9936"/>
    <n v="3787"/>
    <n v="0"/>
    <s v="Y"/>
    <s v="No"/>
    <n v="19"/>
    <n v="3"/>
    <n v="2"/>
    <n v="80"/>
    <n v="0"/>
    <n v="10"/>
    <n v="2"/>
    <n v="3"/>
    <n v="9"/>
    <n v="4"/>
    <n v="1"/>
    <n v="7"/>
    <n v="0"/>
    <x v="2"/>
  </r>
  <r>
    <n v="26"/>
    <x v="1"/>
    <s v="Travel_Rarely"/>
    <n v="1167"/>
    <x v="0"/>
    <n v="5"/>
    <x v="3"/>
    <x v="1"/>
    <n v="1"/>
    <n v="2060"/>
    <n v="4"/>
    <x v="0"/>
    <n v="30"/>
    <n v="2"/>
    <n v="1"/>
    <x v="6"/>
    <n v="3"/>
    <x v="0"/>
    <n v="2966"/>
    <n v="21378"/>
    <n v="0"/>
    <s v="Y"/>
    <s v="No"/>
    <n v="18"/>
    <n v="3"/>
    <n v="4"/>
    <n v="80"/>
    <n v="0"/>
    <n v="5"/>
    <n v="2"/>
    <n v="3"/>
    <n v="4"/>
    <n v="2"/>
    <n v="0"/>
    <n v="0"/>
    <n v="0"/>
    <x v="2"/>
  </r>
  <r>
    <n v="36"/>
    <x v="1"/>
    <s v="Travel_Frequently"/>
    <n v="884"/>
    <x v="1"/>
    <n v="23"/>
    <x v="0"/>
    <x v="2"/>
    <n v="1"/>
    <n v="2061"/>
    <n v="3"/>
    <x v="1"/>
    <n v="41"/>
    <n v="4"/>
    <n v="2"/>
    <x v="2"/>
    <n v="4"/>
    <x v="1"/>
    <n v="2571"/>
    <n v="12290"/>
    <n v="4"/>
    <s v="Y"/>
    <s v="No"/>
    <n v="17"/>
    <n v="3"/>
    <n v="3"/>
    <n v="80"/>
    <n v="1"/>
    <n v="17"/>
    <n v="3"/>
    <n v="3"/>
    <n v="5"/>
    <n v="2"/>
    <n v="0"/>
    <n v="3"/>
    <n v="0"/>
    <x v="0"/>
  </r>
  <r>
    <n v="39"/>
    <x v="1"/>
    <s v="Travel_Rarely"/>
    <n v="613"/>
    <x v="1"/>
    <n v="6"/>
    <x v="1"/>
    <x v="2"/>
    <n v="1"/>
    <n v="2062"/>
    <n v="4"/>
    <x v="1"/>
    <n v="42"/>
    <n v="2"/>
    <n v="3"/>
    <x v="4"/>
    <n v="1"/>
    <x v="1"/>
    <n v="9991"/>
    <n v="21457"/>
    <n v="4"/>
    <s v="Y"/>
    <s v="No"/>
    <n v="15"/>
    <n v="3"/>
    <n v="1"/>
    <n v="80"/>
    <n v="1"/>
    <n v="9"/>
    <n v="5"/>
    <n v="3"/>
    <n v="7"/>
    <n v="7"/>
    <n v="1"/>
    <n v="7"/>
    <n v="0"/>
    <x v="0"/>
  </r>
  <r>
    <n v="27"/>
    <x v="1"/>
    <s v="Travel_Rarely"/>
    <n v="155"/>
    <x v="1"/>
    <n v="4"/>
    <x v="3"/>
    <x v="0"/>
    <n v="1"/>
    <n v="2064"/>
    <n v="2"/>
    <x v="1"/>
    <n v="87"/>
    <n v="4"/>
    <n v="2"/>
    <x v="3"/>
    <n v="2"/>
    <x v="1"/>
    <n v="6142"/>
    <n v="5174"/>
    <n v="1"/>
    <s v="Y"/>
    <s v="Yes"/>
    <n v="20"/>
    <n v="4"/>
    <n v="2"/>
    <n v="80"/>
    <n v="1"/>
    <n v="6"/>
    <n v="0"/>
    <n v="3"/>
    <n v="6"/>
    <n v="2"/>
    <n v="0"/>
    <n v="3"/>
    <n v="0"/>
    <x v="2"/>
  </r>
  <r>
    <n v="49"/>
    <x v="1"/>
    <s v="Travel_Frequently"/>
    <n v="1023"/>
    <x v="0"/>
    <n v="2"/>
    <x v="3"/>
    <x v="2"/>
    <n v="1"/>
    <n v="2065"/>
    <n v="4"/>
    <x v="1"/>
    <n v="63"/>
    <n v="2"/>
    <n v="2"/>
    <x v="0"/>
    <n v="2"/>
    <x v="1"/>
    <n v="5390"/>
    <n v="13243"/>
    <n v="2"/>
    <s v="Y"/>
    <s v="No"/>
    <n v="14"/>
    <n v="3"/>
    <n v="4"/>
    <n v="80"/>
    <n v="0"/>
    <n v="17"/>
    <n v="3"/>
    <n v="2"/>
    <n v="9"/>
    <n v="6"/>
    <n v="0"/>
    <n v="8"/>
    <n v="0"/>
    <x v="1"/>
  </r>
  <r>
    <n v="34"/>
    <x v="1"/>
    <s v="Travel_Rarely"/>
    <n v="628"/>
    <x v="1"/>
    <n v="8"/>
    <x v="3"/>
    <x v="2"/>
    <n v="1"/>
    <n v="2068"/>
    <n v="2"/>
    <x v="1"/>
    <n v="82"/>
    <n v="4"/>
    <n v="2"/>
    <x v="2"/>
    <n v="3"/>
    <x v="1"/>
    <n v="4404"/>
    <n v="10228"/>
    <n v="2"/>
    <s v="Y"/>
    <s v="No"/>
    <n v="12"/>
    <n v="3"/>
    <n v="1"/>
    <n v="80"/>
    <n v="0"/>
    <n v="6"/>
    <n v="3"/>
    <n v="4"/>
    <n v="4"/>
    <n v="3"/>
    <n v="1"/>
    <n v="2"/>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C89DFF-9B11-4EA4-931F-6B536950C98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D7" firstHeaderRow="0" firstDataRow="1" firstDataCol="1"/>
  <pivotFields count="37">
    <pivotField dataField="1" showAll="0"/>
    <pivotField axis="axisRow"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Count of EmployeeNumber" fld="9" subtotal="count" baseField="0" baseItem="0"/>
    <dataField name="Average of Age" fld="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AD8006-6820-4058-882E-0687A5FF0D4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4:B78" firstHeaderRow="1" firstDataRow="1" firstDataCol="1"/>
  <pivotFields count="37">
    <pivotField showAll="0"/>
    <pivotField dataField="1"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Items count="1">
    <i/>
  </colItems>
  <dataFields count="1">
    <dataField name="Count of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D8BB7D-E456-4D10-8765-A1806E0A340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7:B63" firstHeaderRow="1" firstDataRow="1" firstDataCol="1"/>
  <pivotFields count="37">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s>
  <rowFields count="1">
    <field x="36"/>
  </rowFields>
  <rowItems count="6">
    <i>
      <x/>
    </i>
    <i>
      <x v="1"/>
    </i>
    <i>
      <x v="4"/>
    </i>
    <i>
      <x v="2"/>
    </i>
    <i>
      <x v="3"/>
    </i>
    <i t="grand">
      <x/>
    </i>
  </rowItems>
  <colItems count="1">
    <i/>
  </colItems>
  <dataFields count="1">
    <dataField name="Sum of Attrition_value" fld="35"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6"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FD2592-B6F3-4AC9-AAD0-625C82B52DB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9:B43" firstHeaderRow="1" firstDataRow="1" firstDataCol="1"/>
  <pivotFields count="37">
    <pivotField showAll="0"/>
    <pivotField showAll="0">
      <items count="3">
        <item x="1"/>
        <item x="0"/>
        <item t="default"/>
      </items>
    </pivotField>
    <pivotField showAll="0"/>
    <pivotField showAll="0"/>
    <pivotField axis="axisRow"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4"/>
  </rowFields>
  <rowItems count="4">
    <i>
      <x/>
    </i>
    <i>
      <x v="1"/>
    </i>
    <i>
      <x v="2"/>
    </i>
    <i t="grand">
      <x/>
    </i>
  </rowItems>
  <colItems count="1">
    <i/>
  </colItems>
  <dataFields count="1">
    <dataField name="Sum of Attrition_value" fld="35"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1"/>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4" count="1" selected="0">
            <x v="0"/>
          </reference>
        </references>
      </pivotArea>
    </chartFormat>
    <chartFormat chart="3" format="10">
      <pivotArea type="data" outline="0" fieldPosition="0">
        <references count="2">
          <reference field="4294967294" count="1" selected="0">
            <x v="0"/>
          </reference>
          <reference field="4" count="1" selected="0">
            <x v="1"/>
          </reference>
        </references>
      </pivotArea>
    </chartFormat>
    <chartFormat chart="3"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C2049B-9CE0-4234-9B51-D2A23E24A1A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0:B27" firstHeaderRow="1" firstDataRow="1" firstDataCol="1"/>
  <pivotFields count="37">
    <pivotField showAll="0"/>
    <pivotField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axis="axisRow" showAll="0" sortType="ascending">
      <items count="7">
        <item x="5"/>
        <item x="0"/>
        <item x="3"/>
        <item x="2"/>
        <item x="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7">
    <i>
      <x/>
    </i>
    <i>
      <x v="4"/>
    </i>
    <i>
      <x v="5"/>
    </i>
    <i>
      <x v="2"/>
    </i>
    <i>
      <x v="3"/>
    </i>
    <i>
      <x v="1"/>
    </i>
    <i t="grand">
      <x/>
    </i>
  </rowItems>
  <colItems count="1">
    <i/>
  </colItems>
  <dataFields count="1">
    <dataField name="Count of Attrition"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43BBD6-8781-4180-8E1F-4DB0F64E452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B7" firstHeaderRow="1" firstDataRow="1" firstDataCol="1"/>
  <pivotFields count="37">
    <pivotField showAll="0"/>
    <pivotField showAll="0"/>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Items count="1">
    <i/>
  </colItems>
  <dataFields count="1">
    <dataField name="Count of EmployeeNumber" fld="9" subtotal="count" baseField="0" baseItem="0"/>
  </dataFields>
  <chartFormats count="9">
    <chartFormat chart="0" format="19" series="1">
      <pivotArea type="data" outline="0" fieldPosition="0">
        <references count="1">
          <reference field="4294967294" count="1" selected="0">
            <x v="0"/>
          </reference>
        </references>
      </pivotArea>
    </chartFormat>
    <chartFormat chart="0" format="20">
      <pivotArea type="data" outline="0" fieldPosition="0">
        <references count="2">
          <reference field="4294967294" count="1" selected="0">
            <x v="0"/>
          </reference>
          <reference field="11" count="1" selected="0">
            <x v="1"/>
          </reference>
        </references>
      </pivotArea>
    </chartFormat>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11" count="1" selected="0">
            <x v="1"/>
          </reference>
        </references>
      </pivotArea>
    </chartFormat>
    <chartFormat chart="9" format="2">
      <pivotArea type="data" outline="0" fieldPosition="0">
        <references count="2">
          <reference field="4294967294" count="1" selected="0">
            <x v="0"/>
          </reference>
          <reference field="11" count="1" selected="0">
            <x v="0"/>
          </reference>
        </references>
      </pivotArea>
    </chartFormat>
    <chartFormat chart="12" format="23" series="1">
      <pivotArea type="data" outline="0" fieldPosition="0">
        <references count="1">
          <reference field="4294967294" count="1" selected="0">
            <x v="0"/>
          </reference>
        </references>
      </pivotArea>
    </chartFormat>
    <chartFormat chart="12" format="24">
      <pivotArea type="data" outline="0" fieldPosition="0">
        <references count="2">
          <reference field="4294967294" count="1" selected="0">
            <x v="0"/>
          </reference>
          <reference field="11" count="1" selected="0">
            <x v="1"/>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4EEF98-A840-4EEE-9986-A78C8A76A8E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8:B108" firstHeaderRow="1" firstDataRow="1" firstDataCol="1"/>
  <pivotFields count="37">
    <pivotField showAll="0"/>
    <pivotField dataField="1" showAll="0"/>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1"/>
    </i>
    <i>
      <x v="2"/>
    </i>
    <i>
      <x v="3"/>
    </i>
    <i>
      <x v="4"/>
    </i>
    <i>
      <x v="5"/>
    </i>
    <i>
      <x v="6"/>
    </i>
    <i>
      <x v="7"/>
    </i>
    <i>
      <x v="8"/>
    </i>
    <i t="grand">
      <x/>
    </i>
  </rowItems>
  <colItems count="1">
    <i/>
  </colItems>
  <dataFields count="1">
    <dataField name="Count of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26A4E4-08A4-4886-A938-CAF71E348A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4:B5" firstHeaderRow="1" firstDataRow="1" firstDataCol="0"/>
  <pivotFields count="37">
    <pivotField showAll="0"/>
    <pivotField showAll="0"/>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Satisfaction" fld="16" subtotal="average"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2324140-509A-4575-8B17-BB806E5A8106}" sourceName="Gender">
  <pivotTables>
    <pivotTable tabId="3" name="PivotTable3"/>
    <pivotTable tabId="3" name="PivotTable1"/>
    <pivotTable tabId="3" name="PivotTable4"/>
    <pivotTable tabId="3" name="PivotTable5"/>
    <pivotTable tabId="3" name="PivotTable6"/>
    <pivotTable tabId="3" name="PivotTable7"/>
    <pivotTable tabId="2" name="PivotTable2"/>
    <pivotTable tabId="4" name="PivotTable1"/>
  </pivotTables>
  <data>
    <tabular pivotCacheId="180381514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3901AF0-35D3-4E49-B345-9F59489ADE7A}" sourceName="Department">
  <pivotTables>
    <pivotTable tabId="3" name="PivotTable4"/>
    <pivotTable tabId="3" name="PivotTable1"/>
    <pivotTable tabId="3" name="PivotTable3"/>
    <pivotTable tabId="3" name="PivotTable5"/>
    <pivotTable tabId="3" name="PivotTable6"/>
    <pivotTable tabId="3" name="PivotTable7"/>
    <pivotTable tabId="2" name="PivotTable2"/>
    <pivotTable tabId="4" name="PivotTable1"/>
  </pivotTables>
  <data>
    <tabular pivotCacheId="180381514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37BC612A-4DE9-469F-9479-DF59F87CE592}" sourceName="EducationField">
  <pivotTables>
    <pivotTable tabId="3" name="PivotTable4"/>
    <pivotTable tabId="3" name="PivotTable1"/>
    <pivotTable tabId="3" name="PivotTable3"/>
    <pivotTable tabId="3" name="PivotTable5"/>
    <pivotTable tabId="3" name="PivotTable6"/>
    <pivotTable tabId="3" name="PivotTable7"/>
    <pivotTable tabId="2" name="PivotTable2"/>
    <pivotTable tabId="4" name="PivotTable1"/>
  </pivotTables>
  <data>
    <tabular pivotCacheId="1803815144">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5350E5D-BA4F-482B-95C6-F4F51E026D30}" cache="Slicer_Gender" caption="Gender" columnCount="2" rowHeight="247650"/>
  <slicer name="Department" xr10:uid="{5E3398CB-98F8-4BC5-8325-83F59CB6022F}" cache="Slicer_Department" caption="Department" rowHeight="247650"/>
  <slicer name="EducationField" xr10:uid="{11198D04-AE0E-42F7-95F2-3812CE972328}" cache="Slicer_EducationField" caption="EducationField"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98B865C4-FDDC-4994-9552-7B77AAFF9739}" cache="Slicer_Gender" columnCount="2" style="SlicerStyleLight6" rowHeight="396000"/>
  <slicer name="Department 1" xr10:uid="{820781D2-A699-4EFB-B16B-5076E1C9D100}" cache="Slicer_Department" caption="Department" style="SlicerStyleLight6" rowHeight="247650"/>
  <slicer name="EducationField 1" xr10:uid="{259565B2-82E2-4A99-8E65-C0CAEDEB1751}" cache="Slicer_EducationField" caption="EducationField" style="SlicerStyleLight6"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4.xml"/><Relationship Id="rId7"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515E2-C991-4471-B3E2-2AA923000857}">
  <dimension ref="A1:AK1471"/>
  <sheetViews>
    <sheetView topLeftCell="AI1" zoomScale="268" workbookViewId="0">
      <selection activeCell="AK3" sqref="AK3"/>
    </sheetView>
  </sheetViews>
  <sheetFormatPr defaultRowHeight="14.4" x14ac:dyDescent="0.3"/>
  <cols>
    <col min="1" max="1" width="4" bestFit="1" customWidth="1"/>
    <col min="2" max="2" width="7.33203125" bestFit="1" customWidth="1"/>
    <col min="3" max="3" width="15.109375" bestFit="1" customWidth="1"/>
    <col min="4" max="4" width="8.5546875" bestFit="1" customWidth="1"/>
    <col min="5" max="5" width="21.44140625" bestFit="1" customWidth="1"/>
    <col min="6" max="6" width="17.44140625" bestFit="1" customWidth="1"/>
    <col min="7" max="7" width="9" bestFit="1" customWidth="1"/>
    <col min="8" max="8" width="15.88671875" bestFit="1" customWidth="1"/>
    <col min="9" max="9" width="13.77734375" bestFit="1" customWidth="1"/>
    <col min="10" max="10" width="15.44140625" bestFit="1" customWidth="1"/>
    <col min="11" max="11" width="20.6640625" bestFit="1" customWidth="1"/>
    <col min="12" max="12" width="7" bestFit="1" customWidth="1"/>
    <col min="13" max="13" width="9.88671875" bestFit="1" customWidth="1"/>
    <col min="14" max="14" width="13.33203125" bestFit="1" customWidth="1"/>
    <col min="15" max="15" width="7.77734375" bestFit="1" customWidth="1"/>
    <col min="16" max="16" width="22.6640625" bestFit="1" customWidth="1"/>
    <col min="17" max="17" width="13.21875" bestFit="1" customWidth="1"/>
    <col min="18" max="18" width="11.5546875" bestFit="1" customWidth="1"/>
    <col min="19" max="19" width="13.33203125" bestFit="1" customWidth="1"/>
    <col min="20" max="20" width="10.88671875" bestFit="1" customWidth="1"/>
    <col min="21" max="21" width="20.44140625" bestFit="1" customWidth="1"/>
    <col min="22" max="22" width="6.77734375" bestFit="1" customWidth="1"/>
    <col min="23" max="23" width="8.6640625" bestFit="1" customWidth="1"/>
    <col min="24" max="24" width="16" bestFit="1" customWidth="1"/>
    <col min="25" max="25" width="16.6640625" bestFit="1" customWidth="1"/>
    <col min="26" max="26" width="20.6640625" bestFit="1" customWidth="1"/>
    <col min="27" max="27" width="13.21875" bestFit="1" customWidth="1"/>
    <col min="28" max="28" width="15.109375" bestFit="1" customWidth="1"/>
    <col min="29" max="29" width="16.109375" bestFit="1" customWidth="1"/>
    <col min="30" max="30" width="19.33203125" bestFit="1" customWidth="1"/>
    <col min="31" max="31" width="14.77734375" bestFit="1" customWidth="1"/>
    <col min="32" max="32" width="14.88671875" bestFit="1" customWidth="1"/>
    <col min="33" max="33" width="16.77734375" bestFit="1" customWidth="1"/>
    <col min="34" max="34" width="22" bestFit="1" customWidth="1"/>
    <col min="35" max="35" width="20" bestFit="1" customWidth="1"/>
    <col min="36" max="36" width="12.33203125" bestFit="1" customWidth="1"/>
    <col min="37" max="37" width="9.33203125" bestFit="1" customWidth="1"/>
  </cols>
  <sheetData>
    <row r="1" spans="1:3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62</v>
      </c>
      <c r="AK1" t="s">
        <v>63</v>
      </c>
    </row>
    <row r="2" spans="1:37"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f>IF(B2="yes",1,0)</f>
        <v>1</v>
      </c>
      <c r="AK2" t="str" cm="1">
        <f t="array" ref="AK2">_xlfn.IFS(A2&lt;25,"UNDER 25",A2&lt;=34,"25-34",A2&lt;=44,"35-44",A2&lt;=54,"45-54",TRUE,"OVER 55")</f>
        <v>35-44</v>
      </c>
    </row>
    <row r="3" spans="1:37"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f t="shared" ref="AJ3:AJ66" si="0">IF(B3="yes",1,0)</f>
        <v>0</v>
      </c>
      <c r="AK3" t="str" cm="1">
        <f t="array" ref="AK3">_xlfn.IFS(A3&lt;25,"UNDER 25",A3&lt;=34,"25-34",A3&lt;=44,"35-44",A3&lt;=54,"45-54",TRUE,"OVER 55")</f>
        <v>45-54</v>
      </c>
    </row>
    <row r="4" spans="1:37"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f t="shared" si="0"/>
        <v>1</v>
      </c>
      <c r="AK4" t="str" cm="1">
        <f t="array" ref="AK4">_xlfn.IFS(A4&lt;25,"UNDER 25",A4&lt;=34,"25-34",A4&lt;=44,"35-44",A4&lt;=54,"45-54",TRUE,"OVER 55")</f>
        <v>35-44</v>
      </c>
    </row>
    <row r="5" spans="1:37"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f t="shared" si="0"/>
        <v>0</v>
      </c>
      <c r="AK5" t="str" cm="1">
        <f t="array" ref="AK5">_xlfn.IFS(A5&lt;25,"UNDER 25",A5&lt;=34,"25-34",A5&lt;=44,"35-44",A5&lt;=54,"45-54",TRUE,"OVER 55")</f>
        <v>25-34</v>
      </c>
    </row>
    <row r="6" spans="1:37"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f t="shared" si="0"/>
        <v>0</v>
      </c>
      <c r="AK6" t="str" cm="1">
        <f t="array" ref="AK6">_xlfn.IFS(A6&lt;25,"UNDER 25",A6&lt;=34,"25-34",A6&lt;=44,"35-44",A6&lt;=54,"45-54",TRUE,"OVER 55")</f>
        <v>25-34</v>
      </c>
    </row>
    <row r="7" spans="1:37"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f t="shared" si="0"/>
        <v>0</v>
      </c>
      <c r="AK7" t="str" cm="1">
        <f t="array" ref="AK7">_xlfn.IFS(A7&lt;25,"UNDER 25",A7&lt;=34,"25-34",A7&lt;=44,"35-44",A7&lt;=54,"45-54",TRUE,"OVER 55")</f>
        <v>25-34</v>
      </c>
    </row>
    <row r="8" spans="1:37"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f t="shared" si="0"/>
        <v>0</v>
      </c>
      <c r="AK8" t="str" cm="1">
        <f t="array" ref="AK8">_xlfn.IFS(A8&lt;25,"UNDER 25",A8&lt;=34,"25-34",A8&lt;=44,"35-44",A8&lt;=54,"45-54",TRUE,"OVER 55")</f>
        <v>OVER 55</v>
      </c>
    </row>
    <row r="9" spans="1:37"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f t="shared" si="0"/>
        <v>0</v>
      </c>
      <c r="AK9" t="str" cm="1">
        <f t="array" ref="AK9">_xlfn.IFS(A9&lt;25,"UNDER 25",A9&lt;=34,"25-34",A9&lt;=44,"35-44",A9&lt;=54,"45-54",TRUE,"OVER 55")</f>
        <v>25-34</v>
      </c>
    </row>
    <row r="10" spans="1:37"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f t="shared" si="0"/>
        <v>0</v>
      </c>
      <c r="AK10" t="str" cm="1">
        <f t="array" ref="AK10">_xlfn.IFS(A10&lt;25,"UNDER 25",A10&lt;=34,"25-34",A10&lt;=44,"35-44",A10&lt;=54,"45-54",TRUE,"OVER 55")</f>
        <v>35-44</v>
      </c>
    </row>
    <row r="11" spans="1:37"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f t="shared" si="0"/>
        <v>0</v>
      </c>
      <c r="AK11" t="str" cm="1">
        <f t="array" ref="AK11">_xlfn.IFS(A11&lt;25,"UNDER 25",A11&lt;=34,"25-34",A11&lt;=44,"35-44",A11&lt;=54,"45-54",TRUE,"OVER 55")</f>
        <v>35-44</v>
      </c>
    </row>
    <row r="12" spans="1:37"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f t="shared" si="0"/>
        <v>0</v>
      </c>
      <c r="AK12" t="str" cm="1">
        <f t="array" ref="AK12">_xlfn.IFS(A12&lt;25,"UNDER 25",A12&lt;=34,"25-34",A12&lt;=44,"35-44",A12&lt;=54,"45-54",TRUE,"OVER 55")</f>
        <v>35-44</v>
      </c>
    </row>
    <row r="13" spans="1:37"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f t="shared" si="0"/>
        <v>0</v>
      </c>
      <c r="AK13" t="str" cm="1">
        <f t="array" ref="AK13">_xlfn.IFS(A13&lt;25,"UNDER 25",A13&lt;=34,"25-34",A13&lt;=44,"35-44",A13&lt;=54,"45-54",TRUE,"OVER 55")</f>
        <v>25-34</v>
      </c>
    </row>
    <row r="14" spans="1:37"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f t="shared" si="0"/>
        <v>0</v>
      </c>
      <c r="AK14" t="str" cm="1">
        <f t="array" ref="AK14">_xlfn.IFS(A14&lt;25,"UNDER 25",A14&lt;=34,"25-34",A14&lt;=44,"35-44",A14&lt;=54,"45-54",TRUE,"OVER 55")</f>
        <v>25-34</v>
      </c>
    </row>
    <row r="15" spans="1:37"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f t="shared" si="0"/>
        <v>0</v>
      </c>
      <c r="AK15" t="str" cm="1">
        <f t="array" ref="AK15">_xlfn.IFS(A15&lt;25,"UNDER 25",A15&lt;=34,"25-34",A15&lt;=44,"35-44",A15&lt;=54,"45-54",TRUE,"OVER 55")</f>
        <v>25-34</v>
      </c>
    </row>
    <row r="16" spans="1:37"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f t="shared" si="0"/>
        <v>1</v>
      </c>
      <c r="AK16" t="str" cm="1">
        <f t="array" ref="AK16">_xlfn.IFS(A16&lt;25,"UNDER 25",A16&lt;=34,"25-34",A16&lt;=44,"35-44",A16&lt;=54,"45-54",TRUE,"OVER 55")</f>
        <v>25-34</v>
      </c>
    </row>
    <row r="17" spans="1:37"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f t="shared" si="0"/>
        <v>0</v>
      </c>
      <c r="AK17" t="str" cm="1">
        <f t="array" ref="AK17">_xlfn.IFS(A17&lt;25,"UNDER 25",A17&lt;=34,"25-34",A17&lt;=44,"35-44",A17&lt;=54,"45-54",TRUE,"OVER 55")</f>
        <v>25-34</v>
      </c>
    </row>
    <row r="18" spans="1:37"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f t="shared" si="0"/>
        <v>0</v>
      </c>
      <c r="AK18" t="str" cm="1">
        <f t="array" ref="AK18">_xlfn.IFS(A18&lt;25,"UNDER 25",A18&lt;=34,"25-34",A18&lt;=44,"35-44",A18&lt;=54,"45-54",TRUE,"OVER 55")</f>
        <v>25-34</v>
      </c>
    </row>
    <row r="19" spans="1:37"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f t="shared" si="0"/>
        <v>0</v>
      </c>
      <c r="AK19" t="str" cm="1">
        <f t="array" ref="AK19">_xlfn.IFS(A19&lt;25,"UNDER 25",A19&lt;=34,"25-34",A19&lt;=44,"35-44",A19&lt;=54,"45-54",TRUE,"OVER 55")</f>
        <v>UNDER 25</v>
      </c>
    </row>
    <row r="20" spans="1:37"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f t="shared" si="0"/>
        <v>0</v>
      </c>
      <c r="AK20" t="str" cm="1">
        <f t="array" ref="AK20">_xlfn.IFS(A20&lt;25,"UNDER 25",A20&lt;=34,"25-34",A20&lt;=44,"35-44",A20&lt;=54,"45-54",TRUE,"OVER 55")</f>
        <v>45-54</v>
      </c>
    </row>
    <row r="21" spans="1:37"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f t="shared" si="0"/>
        <v>0</v>
      </c>
      <c r="AK21" t="str" cm="1">
        <f t="array" ref="AK21">_xlfn.IFS(A21&lt;25,"UNDER 25",A21&lt;=34,"25-34",A21&lt;=44,"35-44",A21&lt;=54,"45-54",TRUE,"OVER 55")</f>
        <v>35-44</v>
      </c>
    </row>
    <row r="22" spans="1:37"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f t="shared" si="0"/>
        <v>0</v>
      </c>
      <c r="AK22" t="str" cm="1">
        <f t="array" ref="AK22">_xlfn.IFS(A22&lt;25,"UNDER 25",A22&lt;=34,"25-34",A22&lt;=44,"35-44",A22&lt;=54,"45-54",TRUE,"OVER 55")</f>
        <v>UNDER 25</v>
      </c>
    </row>
    <row r="23" spans="1:37"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f t="shared" si="0"/>
        <v>1</v>
      </c>
      <c r="AK23" t="str" cm="1">
        <f t="array" ref="AK23">_xlfn.IFS(A23&lt;25,"UNDER 25",A23&lt;=34,"25-34",A23&lt;=44,"35-44",A23&lt;=54,"45-54",TRUE,"OVER 55")</f>
        <v>35-44</v>
      </c>
    </row>
    <row r="24" spans="1:37"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f t="shared" si="0"/>
        <v>0</v>
      </c>
      <c r="AK24" t="str" cm="1">
        <f t="array" ref="AK24">_xlfn.IFS(A24&lt;25,"UNDER 25",A24&lt;=34,"25-34",A24&lt;=44,"35-44",A24&lt;=54,"45-54",TRUE,"OVER 55")</f>
        <v>25-34</v>
      </c>
    </row>
    <row r="25" spans="1:37"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f t="shared" si="0"/>
        <v>0</v>
      </c>
      <c r="AK25" t="str" cm="1">
        <f t="array" ref="AK25">_xlfn.IFS(A25&lt;25,"UNDER 25",A25&lt;=34,"25-34",A25&lt;=44,"35-44",A25&lt;=54,"45-54",TRUE,"OVER 55")</f>
        <v>UNDER 25</v>
      </c>
    </row>
    <row r="26" spans="1:37"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f t="shared" si="0"/>
        <v>1</v>
      </c>
      <c r="AK26" t="str" cm="1">
        <f t="array" ref="AK26">_xlfn.IFS(A26&lt;25,"UNDER 25",A26&lt;=34,"25-34",A26&lt;=44,"35-44",A26&lt;=54,"45-54",TRUE,"OVER 55")</f>
        <v>25-34</v>
      </c>
    </row>
    <row r="27" spans="1:37"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f t="shared" si="0"/>
        <v>0</v>
      </c>
      <c r="AK27" t="str" cm="1">
        <f t="array" ref="AK27">_xlfn.IFS(A27&lt;25,"UNDER 25",A27&lt;=34,"25-34",A27&lt;=44,"35-44",A27&lt;=54,"45-54",TRUE,"OVER 55")</f>
        <v>45-54</v>
      </c>
    </row>
    <row r="28" spans="1:37"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f t="shared" si="0"/>
        <v>1</v>
      </c>
      <c r="AK28" t="str" cm="1">
        <f t="array" ref="AK28">_xlfn.IFS(A28&lt;25,"UNDER 25",A28&lt;=34,"25-34",A28&lt;=44,"35-44",A28&lt;=54,"45-54",TRUE,"OVER 55")</f>
        <v>25-34</v>
      </c>
    </row>
    <row r="29" spans="1:37"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f t="shared" si="0"/>
        <v>0</v>
      </c>
      <c r="AK29" t="str" cm="1">
        <f t="array" ref="AK29">_xlfn.IFS(A29&lt;25,"UNDER 25",A29&lt;=34,"25-34",A29&lt;=44,"35-44",A29&lt;=54,"45-54",TRUE,"OVER 55")</f>
        <v>35-44</v>
      </c>
    </row>
    <row r="30" spans="1:37"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f t="shared" si="0"/>
        <v>0</v>
      </c>
      <c r="AK30" t="str" cm="1">
        <f t="array" ref="AK30">_xlfn.IFS(A30&lt;25,"UNDER 25",A30&lt;=34,"25-34",A30&lt;=44,"35-44",A30&lt;=54,"45-54",TRUE,"OVER 55")</f>
        <v>35-44</v>
      </c>
    </row>
    <row r="31" spans="1:37"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f t="shared" si="0"/>
        <v>0</v>
      </c>
      <c r="AK31" t="str" cm="1">
        <f t="array" ref="AK31">_xlfn.IFS(A31&lt;25,"UNDER 25",A31&lt;=34,"25-34",A31&lt;=44,"35-44",A31&lt;=54,"45-54",TRUE,"OVER 55")</f>
        <v>45-54</v>
      </c>
    </row>
    <row r="32" spans="1:37"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f t="shared" si="0"/>
        <v>0</v>
      </c>
      <c r="AK32" t="str" cm="1">
        <f t="array" ref="AK32">_xlfn.IFS(A32&lt;25,"UNDER 25",A32&lt;=34,"25-34",A32&lt;=44,"35-44",A32&lt;=54,"45-54",TRUE,"OVER 55")</f>
        <v>25-34</v>
      </c>
    </row>
    <row r="33" spans="1:37"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f t="shared" si="0"/>
        <v>0</v>
      </c>
      <c r="AK33" t="str" cm="1">
        <f t="array" ref="AK33">_xlfn.IFS(A33&lt;25,"UNDER 25",A33&lt;=34,"25-34",A33&lt;=44,"35-44",A33&lt;=54,"45-54",TRUE,"OVER 55")</f>
        <v>35-44</v>
      </c>
    </row>
    <row r="34" spans="1:37"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f t="shared" si="0"/>
        <v>0</v>
      </c>
      <c r="AK34" t="str" cm="1">
        <f t="array" ref="AK34">_xlfn.IFS(A34&lt;25,"UNDER 25",A34&lt;=34,"25-34",A34&lt;=44,"35-44",A34&lt;=54,"45-54",TRUE,"OVER 55")</f>
        <v>25-34</v>
      </c>
    </row>
    <row r="35" spans="1:37"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f t="shared" si="0"/>
        <v>1</v>
      </c>
      <c r="AK35" t="str" cm="1">
        <f t="array" ref="AK35">_xlfn.IFS(A35&lt;25,"UNDER 25",A35&lt;=34,"25-34",A35&lt;=44,"35-44",A35&lt;=54,"45-54",TRUE,"OVER 55")</f>
        <v>35-44</v>
      </c>
    </row>
    <row r="36" spans="1:37"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f t="shared" si="0"/>
        <v>1</v>
      </c>
      <c r="AK36" t="str" cm="1">
        <f t="array" ref="AK36">_xlfn.IFS(A36&lt;25,"UNDER 25",A36&lt;=34,"25-34",A36&lt;=44,"35-44",A36&lt;=54,"45-54",TRUE,"OVER 55")</f>
        <v>UNDER 25</v>
      </c>
    </row>
    <row r="37" spans="1:37"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f t="shared" si="0"/>
        <v>0</v>
      </c>
      <c r="AK37" t="str" cm="1">
        <f t="array" ref="AK37">_xlfn.IFS(A37&lt;25,"UNDER 25",A37&lt;=34,"25-34",A37&lt;=44,"35-44",A37&lt;=54,"45-54",TRUE,"OVER 55")</f>
        <v>35-44</v>
      </c>
    </row>
    <row r="38" spans="1:37"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f t="shared" si="0"/>
        <v>1</v>
      </c>
      <c r="AK38" t="str" cm="1">
        <f t="array" ref="AK38">_xlfn.IFS(A38&lt;25,"UNDER 25",A38&lt;=34,"25-34",A38&lt;=44,"35-44",A38&lt;=54,"45-54",TRUE,"OVER 55")</f>
        <v>45-54</v>
      </c>
    </row>
    <row r="39" spans="1:37"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f t="shared" si="0"/>
        <v>0</v>
      </c>
      <c r="AK39" t="str" cm="1">
        <f t="array" ref="AK39">_xlfn.IFS(A39&lt;25,"UNDER 25",A39&lt;=34,"25-34",A39&lt;=44,"35-44",A39&lt;=54,"45-54",TRUE,"OVER 55")</f>
        <v>35-44</v>
      </c>
    </row>
    <row r="40" spans="1:37"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f t="shared" si="0"/>
        <v>0</v>
      </c>
      <c r="AK40" t="str" cm="1">
        <f t="array" ref="AK40">_xlfn.IFS(A40&lt;25,"UNDER 25",A40&lt;=34,"25-34",A40&lt;=44,"35-44",A40&lt;=54,"45-54",TRUE,"OVER 55")</f>
        <v>35-44</v>
      </c>
    </row>
    <row r="41" spans="1:37"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f t="shared" si="0"/>
        <v>0</v>
      </c>
      <c r="AK41" t="str" cm="1">
        <f t="array" ref="AK41">_xlfn.IFS(A41&lt;25,"UNDER 25",A41&lt;=34,"25-34",A41&lt;=44,"35-44",A41&lt;=54,"45-54",TRUE,"OVER 55")</f>
        <v>25-34</v>
      </c>
    </row>
    <row r="42" spans="1:37"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f t="shared" si="0"/>
        <v>0</v>
      </c>
      <c r="AK42" t="str" cm="1">
        <f t="array" ref="AK42">_xlfn.IFS(A42&lt;25,"UNDER 25",A42&lt;=34,"25-34",A42&lt;=44,"35-44",A42&lt;=54,"45-54",TRUE,"OVER 55")</f>
        <v>35-44</v>
      </c>
    </row>
    <row r="43" spans="1:37"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f t="shared" si="0"/>
        <v>0</v>
      </c>
      <c r="AK43" t="str" cm="1">
        <f t="array" ref="AK43">_xlfn.IFS(A43&lt;25,"UNDER 25",A43&lt;=34,"25-34",A43&lt;=44,"35-44",A43&lt;=54,"45-54",TRUE,"OVER 55")</f>
        <v>25-34</v>
      </c>
    </row>
    <row r="44" spans="1:37"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f t="shared" si="0"/>
        <v>1</v>
      </c>
      <c r="AK44" t="str" cm="1">
        <f t="array" ref="AK44">_xlfn.IFS(A44&lt;25,"UNDER 25",A44&lt;=34,"25-34",A44&lt;=44,"35-44",A44&lt;=54,"45-54",TRUE,"OVER 55")</f>
        <v>25-34</v>
      </c>
    </row>
    <row r="45" spans="1:37"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f t="shared" si="0"/>
        <v>0</v>
      </c>
      <c r="AK45" t="str" cm="1">
        <f t="array" ref="AK45">_xlfn.IFS(A45&lt;25,"UNDER 25",A45&lt;=34,"25-34",A45&lt;=44,"35-44",A45&lt;=54,"45-54",TRUE,"OVER 55")</f>
        <v>25-34</v>
      </c>
    </row>
    <row r="46" spans="1:37"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f t="shared" si="0"/>
        <v>0</v>
      </c>
      <c r="AK46" t="str" cm="1">
        <f t="array" ref="AK46">_xlfn.IFS(A46&lt;25,"UNDER 25",A46&lt;=34,"25-34",A46&lt;=44,"35-44",A46&lt;=54,"45-54",TRUE,"OVER 55")</f>
        <v>25-34</v>
      </c>
    </row>
    <row r="47" spans="1:37"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f t="shared" si="0"/>
        <v>1</v>
      </c>
      <c r="AK47" t="str" cm="1">
        <f t="array" ref="AK47">_xlfn.IFS(A47&lt;25,"UNDER 25",A47&lt;=34,"25-34",A47&lt;=44,"35-44",A47&lt;=54,"45-54",TRUE,"OVER 55")</f>
        <v>35-44</v>
      </c>
    </row>
    <row r="48" spans="1:37"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f t="shared" si="0"/>
        <v>0</v>
      </c>
      <c r="AK48" t="str" cm="1">
        <f t="array" ref="AK48">_xlfn.IFS(A48&lt;25,"UNDER 25",A48&lt;=34,"25-34",A48&lt;=44,"35-44",A48&lt;=54,"45-54",TRUE,"OVER 55")</f>
        <v>25-34</v>
      </c>
    </row>
    <row r="49" spans="1:37"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f t="shared" si="0"/>
        <v>0</v>
      </c>
      <c r="AK49" t="str" cm="1">
        <f t="array" ref="AK49">_xlfn.IFS(A49&lt;25,"UNDER 25",A49&lt;=34,"25-34",A49&lt;=44,"35-44",A49&lt;=54,"45-54",TRUE,"OVER 55")</f>
        <v>35-44</v>
      </c>
    </row>
    <row r="50" spans="1:37"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f t="shared" si="0"/>
        <v>0</v>
      </c>
      <c r="AK50" t="str" cm="1">
        <f t="array" ref="AK50">_xlfn.IFS(A50&lt;25,"UNDER 25",A50&lt;=34,"25-34",A50&lt;=44,"35-44",A50&lt;=54,"45-54",TRUE,"OVER 55")</f>
        <v>45-54</v>
      </c>
    </row>
    <row r="51" spans="1:37"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f t="shared" si="0"/>
        <v>0</v>
      </c>
      <c r="AK51" t="str" cm="1">
        <f t="array" ref="AK51">_xlfn.IFS(A51&lt;25,"UNDER 25",A51&lt;=34,"25-34",A51&lt;=44,"35-44",A51&lt;=54,"45-54",TRUE,"OVER 55")</f>
        <v>35-44</v>
      </c>
    </row>
    <row r="52" spans="1:37"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f t="shared" si="0"/>
        <v>1</v>
      </c>
      <c r="AK52" t="str" cm="1">
        <f t="array" ref="AK52">_xlfn.IFS(A52&lt;25,"UNDER 25",A52&lt;=34,"25-34",A52&lt;=44,"35-44",A52&lt;=54,"45-54",TRUE,"OVER 55")</f>
        <v>45-54</v>
      </c>
    </row>
    <row r="53" spans="1:37"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f t="shared" si="0"/>
        <v>1</v>
      </c>
      <c r="AK53" t="str" cm="1">
        <f t="array" ref="AK53">_xlfn.IFS(A53&lt;25,"UNDER 25",A53&lt;=34,"25-34",A53&lt;=44,"35-44",A53&lt;=54,"45-54",TRUE,"OVER 55")</f>
        <v>25-34</v>
      </c>
    </row>
    <row r="54" spans="1:37"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f t="shared" si="0"/>
        <v>0</v>
      </c>
      <c r="AK54" t="str" cm="1">
        <f t="array" ref="AK54">_xlfn.IFS(A54&lt;25,"UNDER 25",A54&lt;=34,"25-34",A54&lt;=44,"35-44",A54&lt;=54,"45-54",TRUE,"OVER 55")</f>
        <v>35-44</v>
      </c>
    </row>
    <row r="55" spans="1:37"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f t="shared" si="0"/>
        <v>0</v>
      </c>
      <c r="AK55" t="str" cm="1">
        <f t="array" ref="AK55">_xlfn.IFS(A55&lt;25,"UNDER 25",A55&lt;=34,"25-34",A55&lt;=44,"35-44",A55&lt;=54,"45-54",TRUE,"OVER 55")</f>
        <v>35-44</v>
      </c>
    </row>
    <row r="56" spans="1:37"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f t="shared" si="0"/>
        <v>0</v>
      </c>
      <c r="AK56" t="str" cm="1">
        <f t="array" ref="AK56">_xlfn.IFS(A56&lt;25,"UNDER 25",A56&lt;=34,"25-34",A56&lt;=44,"35-44",A56&lt;=54,"45-54",TRUE,"OVER 55")</f>
        <v>25-34</v>
      </c>
    </row>
    <row r="57" spans="1:37"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f t="shared" si="0"/>
        <v>0</v>
      </c>
      <c r="AK57" t="str" cm="1">
        <f t="array" ref="AK57">_xlfn.IFS(A57&lt;25,"UNDER 25",A57&lt;=34,"25-34",A57&lt;=44,"35-44",A57&lt;=54,"45-54",TRUE,"OVER 55")</f>
        <v>25-34</v>
      </c>
    </row>
    <row r="58" spans="1:37"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f t="shared" si="0"/>
        <v>0</v>
      </c>
      <c r="AK58" t="str" cm="1">
        <f t="array" ref="AK58">_xlfn.IFS(A58&lt;25,"UNDER 25",A58&lt;=34,"25-34",A58&lt;=44,"35-44",A58&lt;=54,"45-54",TRUE,"OVER 55")</f>
        <v>35-44</v>
      </c>
    </row>
    <row r="59" spans="1:37"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f t="shared" si="0"/>
        <v>0</v>
      </c>
      <c r="AK59" t="str" cm="1">
        <f t="array" ref="AK59">_xlfn.IFS(A59&lt;25,"UNDER 25",A59&lt;=34,"25-34",A59&lt;=44,"35-44",A59&lt;=54,"45-54",TRUE,"OVER 55")</f>
        <v>35-44</v>
      </c>
    </row>
    <row r="60" spans="1:37"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f t="shared" si="0"/>
        <v>0</v>
      </c>
      <c r="AK60" t="str" cm="1">
        <f t="array" ref="AK60">_xlfn.IFS(A60&lt;25,"UNDER 25",A60&lt;=34,"25-34",A60&lt;=44,"35-44",A60&lt;=54,"45-54",TRUE,"OVER 55")</f>
        <v>25-34</v>
      </c>
    </row>
    <row r="61" spans="1:37"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f t="shared" si="0"/>
        <v>0</v>
      </c>
      <c r="AK61" t="str" cm="1">
        <f t="array" ref="AK61">_xlfn.IFS(A61&lt;25,"UNDER 25",A61&lt;=34,"25-34",A61&lt;=44,"35-44",A61&lt;=54,"45-54",TRUE,"OVER 55")</f>
        <v>35-44</v>
      </c>
    </row>
    <row r="62" spans="1:37"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f t="shared" si="0"/>
        <v>0</v>
      </c>
      <c r="AK62" t="str" cm="1">
        <f t="array" ref="AK62">_xlfn.IFS(A62&lt;25,"UNDER 25",A62&lt;=34,"25-34",A62&lt;=44,"35-44",A62&lt;=54,"45-54",TRUE,"OVER 55")</f>
        <v>25-34</v>
      </c>
    </row>
    <row r="63" spans="1:37"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f t="shared" si="0"/>
        <v>0</v>
      </c>
      <c r="AK63" t="str" cm="1">
        <f t="array" ref="AK63">_xlfn.IFS(A63&lt;25,"UNDER 25",A63&lt;=34,"25-34",A63&lt;=44,"35-44",A63&lt;=54,"45-54",TRUE,"OVER 55")</f>
        <v>35-44</v>
      </c>
    </row>
    <row r="64" spans="1:37"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f t="shared" si="0"/>
        <v>0</v>
      </c>
      <c r="AK64" t="str" cm="1">
        <f t="array" ref="AK64">_xlfn.IFS(A64&lt;25,"UNDER 25",A64&lt;=34,"25-34",A64&lt;=44,"35-44",A64&lt;=54,"45-54",TRUE,"OVER 55")</f>
        <v>45-54</v>
      </c>
    </row>
    <row r="65" spans="1:37"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f t="shared" si="0"/>
        <v>0</v>
      </c>
      <c r="AK65" t="str" cm="1">
        <f t="array" ref="AK65">_xlfn.IFS(A65&lt;25,"UNDER 25",A65&lt;=34,"25-34",A65&lt;=44,"35-44",A65&lt;=54,"45-54",TRUE,"OVER 55")</f>
        <v>OVER 55</v>
      </c>
    </row>
    <row r="66" spans="1:37"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f t="shared" si="0"/>
        <v>0</v>
      </c>
      <c r="AK66" t="str" cm="1">
        <f t="array" ref="AK66">_xlfn.IFS(A66&lt;25,"UNDER 25",A66&lt;=34,"25-34",A66&lt;=44,"35-44",A66&lt;=54,"45-54",TRUE,"OVER 55")</f>
        <v>35-44</v>
      </c>
    </row>
    <row r="67" spans="1:37"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f t="shared" ref="AJ67:AJ130" si="1">IF(B67="yes",1,0)</f>
        <v>0</v>
      </c>
      <c r="AK67" t="str" cm="1">
        <f t="array" ref="AK67">_xlfn.IFS(A67&lt;25,"UNDER 25",A67&lt;=34,"25-34",A67&lt;=44,"35-44",A67&lt;=54,"45-54",TRUE,"OVER 55")</f>
        <v>OVER 55</v>
      </c>
    </row>
    <row r="68" spans="1:37"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f t="shared" si="1"/>
        <v>0</v>
      </c>
      <c r="AK68" t="str" cm="1">
        <f t="array" ref="AK68">_xlfn.IFS(A68&lt;25,"UNDER 25",A68&lt;=34,"25-34",A68&lt;=44,"35-44",A68&lt;=54,"45-54",TRUE,"OVER 55")</f>
        <v>35-44</v>
      </c>
    </row>
    <row r="69" spans="1:37"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f t="shared" si="1"/>
        <v>0</v>
      </c>
      <c r="AK69" t="str" cm="1">
        <f t="array" ref="AK69">_xlfn.IFS(A69&lt;25,"UNDER 25",A69&lt;=34,"25-34",A69&lt;=44,"35-44",A69&lt;=54,"45-54",TRUE,"OVER 55")</f>
        <v>45-54</v>
      </c>
    </row>
    <row r="70" spans="1:37"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f t="shared" si="1"/>
        <v>0</v>
      </c>
      <c r="AK70" t="str" cm="1">
        <f t="array" ref="AK70">_xlfn.IFS(A70&lt;25,"UNDER 25",A70&lt;=34,"25-34",A70&lt;=44,"35-44",A70&lt;=54,"45-54",TRUE,"OVER 55")</f>
        <v>35-44</v>
      </c>
    </row>
    <row r="71" spans="1:37"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f t="shared" si="1"/>
        <v>1</v>
      </c>
      <c r="AK71" t="str" cm="1">
        <f t="array" ref="AK71">_xlfn.IFS(A71&lt;25,"UNDER 25",A71&lt;=34,"25-34",A71&lt;=44,"35-44",A71&lt;=54,"45-54",TRUE,"OVER 55")</f>
        <v>35-44</v>
      </c>
    </row>
    <row r="72" spans="1:37"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f t="shared" si="1"/>
        <v>0</v>
      </c>
      <c r="AK72" t="str" cm="1">
        <f t="array" ref="AK72">_xlfn.IFS(A72&lt;25,"UNDER 25",A72&lt;=34,"25-34",A72&lt;=44,"35-44",A72&lt;=54,"45-54",TRUE,"OVER 55")</f>
        <v>OVER 55</v>
      </c>
    </row>
    <row r="73" spans="1:37"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f t="shared" si="1"/>
        <v>0</v>
      </c>
      <c r="AK73" t="str" cm="1">
        <f t="array" ref="AK73">_xlfn.IFS(A73&lt;25,"UNDER 25",A73&lt;=34,"25-34",A73&lt;=44,"35-44",A73&lt;=54,"45-54",TRUE,"OVER 55")</f>
        <v>25-34</v>
      </c>
    </row>
    <row r="74" spans="1:37"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f t="shared" si="1"/>
        <v>0</v>
      </c>
      <c r="AK74" t="str" cm="1">
        <f t="array" ref="AK74">_xlfn.IFS(A74&lt;25,"UNDER 25",A74&lt;=34,"25-34",A74&lt;=44,"35-44",A74&lt;=54,"45-54",TRUE,"OVER 55")</f>
        <v>25-34</v>
      </c>
    </row>
    <row r="75" spans="1:37"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f t="shared" si="1"/>
        <v>0</v>
      </c>
      <c r="AK75" t="str" cm="1">
        <f t="array" ref="AK75">_xlfn.IFS(A75&lt;25,"UNDER 25",A75&lt;=34,"25-34",A75&lt;=44,"35-44",A75&lt;=54,"45-54",TRUE,"OVER 55")</f>
        <v>25-34</v>
      </c>
    </row>
    <row r="76" spans="1:37"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f t="shared" si="1"/>
        <v>0</v>
      </c>
      <c r="AK76" t="str" cm="1">
        <f t="array" ref="AK76">_xlfn.IFS(A76&lt;25,"UNDER 25",A76&lt;=34,"25-34",A76&lt;=44,"35-44",A76&lt;=54,"45-54",TRUE,"OVER 55")</f>
        <v>35-44</v>
      </c>
    </row>
    <row r="77" spans="1:37"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f t="shared" si="1"/>
        <v>0</v>
      </c>
      <c r="AK77" t="str" cm="1">
        <f t="array" ref="AK77">_xlfn.IFS(A77&lt;25,"UNDER 25",A77&lt;=34,"25-34",A77&lt;=44,"35-44",A77&lt;=54,"45-54",TRUE,"OVER 55")</f>
        <v>25-34</v>
      </c>
    </row>
    <row r="78" spans="1:37"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f t="shared" si="1"/>
        <v>0</v>
      </c>
      <c r="AK78" t="str" cm="1">
        <f t="array" ref="AK78">_xlfn.IFS(A78&lt;25,"UNDER 25",A78&lt;=34,"25-34",A78&lt;=44,"35-44",A78&lt;=54,"45-54",TRUE,"OVER 55")</f>
        <v>35-44</v>
      </c>
    </row>
    <row r="79" spans="1:37"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f t="shared" si="1"/>
        <v>0</v>
      </c>
      <c r="AK79" t="str" cm="1">
        <f t="array" ref="AK79">_xlfn.IFS(A79&lt;25,"UNDER 25",A79&lt;=34,"25-34",A79&lt;=44,"35-44",A79&lt;=54,"45-54",TRUE,"OVER 55")</f>
        <v>45-54</v>
      </c>
    </row>
    <row r="80" spans="1:37"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f t="shared" si="1"/>
        <v>0</v>
      </c>
      <c r="AK80" t="str" cm="1">
        <f t="array" ref="AK80">_xlfn.IFS(A80&lt;25,"UNDER 25",A80&lt;=34,"25-34",A80&lt;=44,"35-44",A80&lt;=54,"45-54",TRUE,"OVER 55")</f>
        <v>35-44</v>
      </c>
    </row>
    <row r="81" spans="1:37"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f t="shared" si="1"/>
        <v>0</v>
      </c>
      <c r="AK81" t="str" cm="1">
        <f t="array" ref="AK81">_xlfn.IFS(A81&lt;25,"UNDER 25",A81&lt;=34,"25-34",A81&lt;=44,"35-44",A81&lt;=54,"45-54",TRUE,"OVER 55")</f>
        <v>45-54</v>
      </c>
    </row>
    <row r="82" spans="1:37"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f t="shared" si="1"/>
        <v>0</v>
      </c>
      <c r="AK82" t="str" cm="1">
        <f t="array" ref="AK82">_xlfn.IFS(A82&lt;25,"UNDER 25",A82&lt;=34,"25-34",A82&lt;=44,"35-44",A82&lt;=54,"45-54",TRUE,"OVER 55")</f>
        <v>25-34</v>
      </c>
    </row>
    <row r="83" spans="1:37"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f t="shared" si="1"/>
        <v>0</v>
      </c>
      <c r="AK83" t="str" cm="1">
        <f t="array" ref="AK83">_xlfn.IFS(A83&lt;25,"UNDER 25",A83&lt;=34,"25-34",A83&lt;=44,"35-44",A83&lt;=54,"45-54",TRUE,"OVER 55")</f>
        <v>35-44</v>
      </c>
    </row>
    <row r="84" spans="1:37"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f t="shared" si="1"/>
        <v>0</v>
      </c>
      <c r="AK84" t="str" cm="1">
        <f t="array" ref="AK84">_xlfn.IFS(A84&lt;25,"UNDER 25",A84&lt;=34,"25-34",A84&lt;=44,"35-44",A84&lt;=54,"45-54",TRUE,"OVER 55")</f>
        <v>OVER 55</v>
      </c>
    </row>
    <row r="85" spans="1:37"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f t="shared" si="1"/>
        <v>0</v>
      </c>
      <c r="AK85" t="str" cm="1">
        <f t="array" ref="AK85">_xlfn.IFS(A85&lt;25,"UNDER 25",A85&lt;=34,"25-34",A85&lt;=44,"35-44",A85&lt;=54,"45-54",TRUE,"OVER 55")</f>
        <v>35-44</v>
      </c>
    </row>
    <row r="86" spans="1:37"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f t="shared" si="1"/>
        <v>0</v>
      </c>
      <c r="AK86" t="str" cm="1">
        <f t="array" ref="AK86">_xlfn.IFS(A86&lt;25,"UNDER 25",A86&lt;=34,"25-34",A86&lt;=44,"35-44",A86&lt;=54,"45-54",TRUE,"OVER 55")</f>
        <v>25-34</v>
      </c>
    </row>
    <row r="87" spans="1:37"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f t="shared" si="1"/>
        <v>0</v>
      </c>
      <c r="AK87" t="str" cm="1">
        <f t="array" ref="AK87">_xlfn.IFS(A87&lt;25,"UNDER 25",A87&lt;=34,"25-34",A87&lt;=44,"35-44",A87&lt;=54,"45-54",TRUE,"OVER 55")</f>
        <v>OVER 55</v>
      </c>
    </row>
    <row r="88" spans="1:37"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f t="shared" si="1"/>
        <v>0</v>
      </c>
      <c r="AK88" t="str" cm="1">
        <f t="array" ref="AK88">_xlfn.IFS(A88&lt;25,"UNDER 25",A88&lt;=34,"25-34",A88&lt;=44,"35-44",A88&lt;=54,"45-54",TRUE,"OVER 55")</f>
        <v>UNDER 25</v>
      </c>
    </row>
    <row r="89" spans="1:37"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f t="shared" si="1"/>
        <v>0</v>
      </c>
      <c r="AK89" t="str" cm="1">
        <f t="array" ref="AK89">_xlfn.IFS(A89&lt;25,"UNDER 25",A89&lt;=34,"25-34",A89&lt;=44,"35-44",A89&lt;=54,"45-54",TRUE,"OVER 55")</f>
        <v>45-54</v>
      </c>
    </row>
    <row r="90" spans="1:37"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f t="shared" si="1"/>
        <v>0</v>
      </c>
      <c r="AK90" t="str" cm="1">
        <f t="array" ref="AK90">_xlfn.IFS(A90&lt;25,"UNDER 25",A90&lt;=34,"25-34",A90&lt;=44,"35-44",A90&lt;=54,"45-54",TRUE,"OVER 55")</f>
        <v>25-34</v>
      </c>
    </row>
    <row r="91" spans="1:37"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f t="shared" si="1"/>
        <v>1</v>
      </c>
      <c r="AK91" t="str" cm="1">
        <f t="array" ref="AK91">_xlfn.IFS(A91&lt;25,"UNDER 25",A91&lt;=34,"25-34",A91&lt;=44,"35-44",A91&lt;=54,"45-54",TRUE,"OVER 55")</f>
        <v>45-54</v>
      </c>
    </row>
    <row r="92" spans="1:37"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f t="shared" si="1"/>
        <v>0</v>
      </c>
      <c r="AK92" t="str" cm="1">
        <f t="array" ref="AK92">_xlfn.IFS(A92&lt;25,"UNDER 25",A92&lt;=34,"25-34",A92&lt;=44,"35-44",A92&lt;=54,"45-54",TRUE,"OVER 55")</f>
        <v>35-44</v>
      </c>
    </row>
    <row r="93" spans="1:37"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f t="shared" si="1"/>
        <v>0</v>
      </c>
      <c r="AK93" t="str" cm="1">
        <f t="array" ref="AK93">_xlfn.IFS(A93&lt;25,"UNDER 25",A93&lt;=34,"25-34",A93&lt;=44,"35-44",A93&lt;=54,"45-54",TRUE,"OVER 55")</f>
        <v>45-54</v>
      </c>
    </row>
    <row r="94" spans="1:37"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f t="shared" si="1"/>
        <v>0</v>
      </c>
      <c r="AK94" t="str" cm="1">
        <f t="array" ref="AK94">_xlfn.IFS(A94&lt;25,"UNDER 25",A94&lt;=34,"25-34",A94&lt;=44,"35-44",A94&lt;=54,"45-54",TRUE,"OVER 55")</f>
        <v>25-34</v>
      </c>
    </row>
    <row r="95" spans="1:37"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f t="shared" si="1"/>
        <v>0</v>
      </c>
      <c r="AK95" t="str" cm="1">
        <f t="array" ref="AK95">_xlfn.IFS(A95&lt;25,"UNDER 25",A95&lt;=34,"25-34",A95&lt;=44,"35-44",A95&lt;=54,"45-54",TRUE,"OVER 55")</f>
        <v>45-54</v>
      </c>
    </row>
    <row r="96" spans="1:37"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f t="shared" si="1"/>
        <v>0</v>
      </c>
      <c r="AK96" t="str" cm="1">
        <f t="array" ref="AK96">_xlfn.IFS(A96&lt;25,"UNDER 25",A96&lt;=34,"25-34",A96&lt;=44,"35-44",A96&lt;=54,"45-54",TRUE,"OVER 55")</f>
        <v>25-34</v>
      </c>
    </row>
    <row r="97" spans="1:37"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f t="shared" si="1"/>
        <v>0</v>
      </c>
      <c r="AK97" t="str" cm="1">
        <f t="array" ref="AK97">_xlfn.IFS(A97&lt;25,"UNDER 25",A97&lt;=34,"25-34",A97&lt;=44,"35-44",A97&lt;=54,"45-54",TRUE,"OVER 55")</f>
        <v>45-54</v>
      </c>
    </row>
    <row r="98" spans="1:37"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f t="shared" si="1"/>
        <v>0</v>
      </c>
      <c r="AK98" t="str" cm="1">
        <f t="array" ref="AK98">_xlfn.IFS(A98&lt;25,"UNDER 25",A98&lt;=34,"25-34",A98&lt;=44,"35-44",A98&lt;=54,"45-54",TRUE,"OVER 55")</f>
        <v>UNDER 25</v>
      </c>
    </row>
    <row r="99" spans="1:37"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f t="shared" si="1"/>
        <v>0</v>
      </c>
      <c r="AK99" t="str" cm="1">
        <f t="array" ref="AK99">_xlfn.IFS(A99&lt;25,"UNDER 25",A99&lt;=34,"25-34",A99&lt;=44,"35-44",A99&lt;=54,"45-54",TRUE,"OVER 55")</f>
        <v>25-34</v>
      </c>
    </row>
    <row r="100" spans="1:37"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f t="shared" si="1"/>
        <v>0</v>
      </c>
      <c r="AK100" t="str" cm="1">
        <f t="array" ref="AK100">_xlfn.IFS(A100&lt;25,"UNDER 25",A100&lt;=34,"25-34",A100&lt;=44,"35-44",A100&lt;=54,"45-54",TRUE,"OVER 55")</f>
        <v>OVER 55</v>
      </c>
    </row>
    <row r="101" spans="1:37"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f t="shared" si="1"/>
        <v>0</v>
      </c>
      <c r="AK101" t="str" cm="1">
        <f t="array" ref="AK101">_xlfn.IFS(A101&lt;25,"UNDER 25",A101&lt;=34,"25-34",A101&lt;=44,"35-44",A101&lt;=54,"45-54",TRUE,"OVER 55")</f>
        <v>35-44</v>
      </c>
    </row>
    <row r="102" spans="1:37"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f t="shared" si="1"/>
        <v>1</v>
      </c>
      <c r="AK102" t="str" cm="1">
        <f t="array" ref="AK102">_xlfn.IFS(A102&lt;25,"UNDER 25",A102&lt;=34,"25-34",A102&lt;=44,"35-44",A102&lt;=54,"45-54",TRUE,"OVER 55")</f>
        <v>35-44</v>
      </c>
    </row>
    <row r="103" spans="1:37"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f t="shared" si="1"/>
        <v>0</v>
      </c>
      <c r="AK103" t="str" cm="1">
        <f t="array" ref="AK103">_xlfn.IFS(A103&lt;25,"UNDER 25",A103&lt;=34,"25-34",A103&lt;=44,"35-44",A103&lt;=54,"45-54",TRUE,"OVER 55")</f>
        <v>25-34</v>
      </c>
    </row>
    <row r="104" spans="1:37"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f t="shared" si="1"/>
        <v>1</v>
      </c>
      <c r="AK104" t="str" cm="1">
        <f t="array" ref="AK104">_xlfn.IFS(A104&lt;25,"UNDER 25",A104&lt;=34,"25-34",A104&lt;=44,"35-44",A104&lt;=54,"45-54",TRUE,"OVER 55")</f>
        <v>UNDER 25</v>
      </c>
    </row>
    <row r="105" spans="1:37"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f t="shared" si="1"/>
        <v>0</v>
      </c>
      <c r="AK105" t="str" cm="1">
        <f t="array" ref="AK105">_xlfn.IFS(A105&lt;25,"UNDER 25",A105&lt;=34,"25-34",A105&lt;=44,"35-44",A105&lt;=54,"45-54",TRUE,"OVER 55")</f>
        <v>25-34</v>
      </c>
    </row>
    <row r="106" spans="1:37"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f t="shared" si="1"/>
        <v>0</v>
      </c>
      <c r="AK106" t="str" cm="1">
        <f t="array" ref="AK106">_xlfn.IFS(A106&lt;25,"UNDER 25",A106&lt;=34,"25-34",A106&lt;=44,"35-44",A106&lt;=54,"45-54",TRUE,"OVER 55")</f>
        <v>35-44</v>
      </c>
    </row>
    <row r="107" spans="1:37"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f t="shared" si="1"/>
        <v>0</v>
      </c>
      <c r="AK107" t="str" cm="1">
        <f t="array" ref="AK107">_xlfn.IFS(A107&lt;25,"UNDER 25",A107&lt;=34,"25-34",A107&lt;=44,"35-44",A107&lt;=54,"45-54",TRUE,"OVER 55")</f>
        <v>OVER 55</v>
      </c>
    </row>
    <row r="108" spans="1:37"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f t="shared" si="1"/>
        <v>0</v>
      </c>
      <c r="AK108" t="str" cm="1">
        <f t="array" ref="AK108">_xlfn.IFS(A108&lt;25,"UNDER 25",A108&lt;=34,"25-34",A108&lt;=44,"35-44",A108&lt;=54,"45-54",TRUE,"OVER 55")</f>
        <v>45-54</v>
      </c>
    </row>
    <row r="109" spans="1:37"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f t="shared" si="1"/>
        <v>1</v>
      </c>
      <c r="AK109" t="str" cm="1">
        <f t="array" ref="AK109">_xlfn.IFS(A109&lt;25,"UNDER 25",A109&lt;=34,"25-34",A109&lt;=44,"35-44",A109&lt;=54,"45-54",TRUE,"OVER 55")</f>
        <v>25-34</v>
      </c>
    </row>
    <row r="110" spans="1:37"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f t="shared" si="1"/>
        <v>0</v>
      </c>
      <c r="AK110" t="str" cm="1">
        <f t="array" ref="AK110">_xlfn.IFS(A110&lt;25,"UNDER 25",A110&lt;=34,"25-34",A110&lt;=44,"35-44",A110&lt;=54,"45-54",TRUE,"OVER 55")</f>
        <v>25-34</v>
      </c>
    </row>
    <row r="111" spans="1:37"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f t="shared" si="1"/>
        <v>0</v>
      </c>
      <c r="AK111" t="str" cm="1">
        <f t="array" ref="AK111">_xlfn.IFS(A111&lt;25,"UNDER 25",A111&lt;=34,"25-34",A111&lt;=44,"35-44",A111&lt;=54,"45-54",TRUE,"OVER 55")</f>
        <v>UNDER 25</v>
      </c>
    </row>
    <row r="112" spans="1:37"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f t="shared" si="1"/>
        <v>0</v>
      </c>
      <c r="AK112" t="str" cm="1">
        <f t="array" ref="AK112">_xlfn.IFS(A112&lt;25,"UNDER 25",A112&lt;=34,"25-34",A112&lt;=44,"35-44",A112&lt;=54,"45-54",TRUE,"OVER 55")</f>
        <v>45-54</v>
      </c>
    </row>
    <row r="113" spans="1:37"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f t="shared" si="1"/>
        <v>1</v>
      </c>
      <c r="AK113" t="str" cm="1">
        <f t="array" ref="AK113">_xlfn.IFS(A113&lt;25,"UNDER 25",A113&lt;=34,"25-34",A113&lt;=44,"35-44",A113&lt;=54,"45-54",TRUE,"OVER 55")</f>
        <v>25-34</v>
      </c>
    </row>
    <row r="114" spans="1:37"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f t="shared" si="1"/>
        <v>0</v>
      </c>
      <c r="AK114" t="str" cm="1">
        <f t="array" ref="AK114">_xlfn.IFS(A114&lt;25,"UNDER 25",A114&lt;=34,"25-34",A114&lt;=44,"35-44",A114&lt;=54,"45-54",TRUE,"OVER 55")</f>
        <v>45-54</v>
      </c>
    </row>
    <row r="115" spans="1:37"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f t="shared" si="1"/>
        <v>0</v>
      </c>
      <c r="AK115" t="str" cm="1">
        <f t="array" ref="AK115">_xlfn.IFS(A115&lt;25,"UNDER 25",A115&lt;=34,"25-34",A115&lt;=44,"35-44",A115&lt;=54,"45-54",TRUE,"OVER 55")</f>
        <v>UNDER 25</v>
      </c>
    </row>
    <row r="116" spans="1:37"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f t="shared" si="1"/>
        <v>0</v>
      </c>
      <c r="AK116" t="str" cm="1">
        <f t="array" ref="AK116">_xlfn.IFS(A116&lt;25,"UNDER 25",A116&lt;=34,"25-34",A116&lt;=44,"35-44",A116&lt;=54,"45-54",TRUE,"OVER 55")</f>
        <v>25-34</v>
      </c>
    </row>
    <row r="117" spans="1:37"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f t="shared" si="1"/>
        <v>0</v>
      </c>
      <c r="AK117" t="str" cm="1">
        <f t="array" ref="AK117">_xlfn.IFS(A117&lt;25,"UNDER 25",A117&lt;=34,"25-34",A117&lt;=44,"35-44",A117&lt;=54,"45-54",TRUE,"OVER 55")</f>
        <v>35-44</v>
      </c>
    </row>
    <row r="118" spans="1:37"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f t="shared" si="1"/>
        <v>0</v>
      </c>
      <c r="AK118" t="str" cm="1">
        <f t="array" ref="AK118">_xlfn.IFS(A118&lt;25,"UNDER 25",A118&lt;=34,"25-34",A118&lt;=44,"35-44",A118&lt;=54,"45-54",TRUE,"OVER 55")</f>
        <v>25-34</v>
      </c>
    </row>
    <row r="119" spans="1:37"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f t="shared" si="1"/>
        <v>0</v>
      </c>
      <c r="AK119" t="str" cm="1">
        <f t="array" ref="AK119">_xlfn.IFS(A119&lt;25,"UNDER 25",A119&lt;=34,"25-34",A119&lt;=44,"35-44",A119&lt;=54,"45-54",TRUE,"OVER 55")</f>
        <v>35-44</v>
      </c>
    </row>
    <row r="120" spans="1:37"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f t="shared" si="1"/>
        <v>0</v>
      </c>
      <c r="AK120" t="str" cm="1">
        <f t="array" ref="AK120">_xlfn.IFS(A120&lt;25,"UNDER 25",A120&lt;=34,"25-34",A120&lt;=44,"35-44",A120&lt;=54,"45-54",TRUE,"OVER 55")</f>
        <v>35-44</v>
      </c>
    </row>
    <row r="121" spans="1:37"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f t="shared" si="1"/>
        <v>0</v>
      </c>
      <c r="AK121" t="str" cm="1">
        <f t="array" ref="AK121">_xlfn.IFS(A121&lt;25,"UNDER 25",A121&lt;=34,"25-34",A121&lt;=44,"35-44",A121&lt;=54,"45-54",TRUE,"OVER 55")</f>
        <v>35-44</v>
      </c>
    </row>
    <row r="122" spans="1:37"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f t="shared" si="1"/>
        <v>0</v>
      </c>
      <c r="AK122" t="str" cm="1">
        <f t="array" ref="AK122">_xlfn.IFS(A122&lt;25,"UNDER 25",A122&lt;=34,"25-34",A122&lt;=44,"35-44",A122&lt;=54,"45-54",TRUE,"OVER 55")</f>
        <v>25-34</v>
      </c>
    </row>
    <row r="123" spans="1:37"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f t="shared" si="1"/>
        <v>0</v>
      </c>
      <c r="AK123" t="str" cm="1">
        <f t="array" ref="AK123">_xlfn.IFS(A123&lt;25,"UNDER 25",A123&lt;=34,"25-34",A123&lt;=44,"35-44",A123&lt;=54,"45-54",TRUE,"OVER 55")</f>
        <v>25-34</v>
      </c>
    </row>
    <row r="124" spans="1:37"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f t="shared" si="1"/>
        <v>1</v>
      </c>
      <c r="AK124" t="str" cm="1">
        <f t="array" ref="AK124">_xlfn.IFS(A124&lt;25,"UNDER 25",A124&lt;=34,"25-34",A124&lt;=44,"35-44",A124&lt;=54,"45-54",TRUE,"OVER 55")</f>
        <v>OVER 55</v>
      </c>
    </row>
    <row r="125" spans="1:37"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f t="shared" si="1"/>
        <v>0</v>
      </c>
      <c r="AK125" t="str" cm="1">
        <f t="array" ref="AK125">_xlfn.IFS(A125&lt;25,"UNDER 25",A125&lt;=34,"25-34",A125&lt;=44,"35-44",A125&lt;=54,"45-54",TRUE,"OVER 55")</f>
        <v>45-54</v>
      </c>
    </row>
    <row r="126" spans="1:37"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f t="shared" si="1"/>
        <v>1</v>
      </c>
      <c r="AK126" t="str" cm="1">
        <f t="array" ref="AK126">_xlfn.IFS(A126&lt;25,"UNDER 25",A126&lt;=34,"25-34",A126&lt;=44,"35-44",A126&lt;=54,"45-54",TRUE,"OVER 55")</f>
        <v>25-34</v>
      </c>
    </row>
    <row r="127" spans="1:37"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f t="shared" si="1"/>
        <v>0</v>
      </c>
      <c r="AK127" t="str" cm="1">
        <f t="array" ref="AK127">_xlfn.IFS(A127&lt;25,"UNDER 25",A127&lt;=34,"25-34",A127&lt;=44,"35-44",A127&lt;=54,"45-54",TRUE,"OVER 55")</f>
        <v>25-34</v>
      </c>
    </row>
    <row r="128" spans="1:37"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f t="shared" si="1"/>
        <v>1</v>
      </c>
      <c r="AK128" t="str" cm="1">
        <f t="array" ref="AK128">_xlfn.IFS(A128&lt;25,"UNDER 25",A128&lt;=34,"25-34",A128&lt;=44,"35-44",A128&lt;=54,"45-54",TRUE,"OVER 55")</f>
        <v>OVER 55</v>
      </c>
    </row>
    <row r="129" spans="1:37"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f t="shared" si="1"/>
        <v>1</v>
      </c>
      <c r="AK129" t="str" cm="1">
        <f t="array" ref="AK129">_xlfn.IFS(A129&lt;25,"UNDER 25",A129&lt;=34,"25-34",A129&lt;=44,"35-44",A129&lt;=54,"45-54",TRUE,"OVER 55")</f>
        <v>UNDER 25</v>
      </c>
    </row>
    <row r="130" spans="1:37"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f t="shared" si="1"/>
        <v>0</v>
      </c>
      <c r="AK130" t="str" cm="1">
        <f t="array" ref="AK130">_xlfn.IFS(A130&lt;25,"UNDER 25",A130&lt;=34,"25-34",A130&lt;=44,"35-44",A130&lt;=54,"45-54",TRUE,"OVER 55")</f>
        <v>UNDER 25</v>
      </c>
    </row>
    <row r="131" spans="1:37"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f t="shared" ref="AJ131:AJ194" si="2">IF(B131="yes",1,0)</f>
        <v>0</v>
      </c>
      <c r="AK131" t="str" cm="1">
        <f t="array" ref="AK131">_xlfn.IFS(A131&lt;25,"UNDER 25",A131&lt;=34,"25-34",A131&lt;=44,"35-44",A131&lt;=54,"45-54",TRUE,"OVER 55")</f>
        <v>45-54</v>
      </c>
    </row>
    <row r="132" spans="1:37"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f t="shared" si="2"/>
        <v>0</v>
      </c>
      <c r="AK132" t="str" cm="1">
        <f t="array" ref="AK132">_xlfn.IFS(A132&lt;25,"UNDER 25",A132&lt;=34,"25-34",A132&lt;=44,"35-44",A132&lt;=54,"45-54",TRUE,"OVER 55")</f>
        <v>35-44</v>
      </c>
    </row>
    <row r="133" spans="1:37"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f t="shared" si="2"/>
        <v>0</v>
      </c>
      <c r="AK133" t="str" cm="1">
        <f t="array" ref="AK133">_xlfn.IFS(A133&lt;25,"UNDER 25",A133&lt;=34,"25-34",A133&lt;=44,"35-44",A133&lt;=54,"45-54",TRUE,"OVER 55")</f>
        <v>45-54</v>
      </c>
    </row>
    <row r="134" spans="1:37"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f t="shared" si="2"/>
        <v>1</v>
      </c>
      <c r="AK134" t="str" cm="1">
        <f t="array" ref="AK134">_xlfn.IFS(A134&lt;25,"UNDER 25",A134&lt;=34,"25-34",A134&lt;=44,"35-44",A134&lt;=54,"45-54",TRUE,"OVER 55")</f>
        <v>25-34</v>
      </c>
    </row>
    <row r="135" spans="1:37"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f t="shared" si="2"/>
        <v>0</v>
      </c>
      <c r="AK135" t="str" cm="1">
        <f t="array" ref="AK135">_xlfn.IFS(A135&lt;25,"UNDER 25",A135&lt;=34,"25-34",A135&lt;=44,"35-44",A135&lt;=54,"45-54",TRUE,"OVER 55")</f>
        <v>35-44</v>
      </c>
    </row>
    <row r="136" spans="1:37"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f t="shared" si="2"/>
        <v>0</v>
      </c>
      <c r="AK136" t="str" cm="1">
        <f t="array" ref="AK136">_xlfn.IFS(A136&lt;25,"UNDER 25",A136&lt;=34,"25-34",A136&lt;=44,"35-44",A136&lt;=54,"45-54",TRUE,"OVER 55")</f>
        <v>25-34</v>
      </c>
    </row>
    <row r="137" spans="1:37"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f t="shared" si="2"/>
        <v>0</v>
      </c>
      <c r="AK137" t="str" cm="1">
        <f t="array" ref="AK137">_xlfn.IFS(A137&lt;25,"UNDER 25",A137&lt;=34,"25-34",A137&lt;=44,"35-44",A137&lt;=54,"45-54",TRUE,"OVER 55")</f>
        <v>35-44</v>
      </c>
    </row>
    <row r="138" spans="1:37"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f t="shared" si="2"/>
        <v>1</v>
      </c>
      <c r="AK138" t="str" cm="1">
        <f t="array" ref="AK138">_xlfn.IFS(A138&lt;25,"UNDER 25",A138&lt;=34,"25-34",A138&lt;=44,"35-44",A138&lt;=54,"45-54",TRUE,"OVER 55")</f>
        <v>45-54</v>
      </c>
    </row>
    <row r="139" spans="1:37"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f t="shared" si="2"/>
        <v>0</v>
      </c>
      <c r="AK139" t="str" cm="1">
        <f t="array" ref="AK139">_xlfn.IFS(A139&lt;25,"UNDER 25",A139&lt;=34,"25-34",A139&lt;=44,"35-44",A139&lt;=54,"45-54",TRUE,"OVER 55")</f>
        <v>35-44</v>
      </c>
    </row>
    <row r="140" spans="1:37"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f t="shared" si="2"/>
        <v>0</v>
      </c>
      <c r="AK140" t="str" cm="1">
        <f t="array" ref="AK140">_xlfn.IFS(A140&lt;25,"UNDER 25",A140&lt;=34,"25-34",A140&lt;=44,"35-44",A140&lt;=54,"45-54",TRUE,"OVER 55")</f>
        <v>25-34</v>
      </c>
    </row>
    <row r="141" spans="1:37"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f t="shared" si="2"/>
        <v>0</v>
      </c>
      <c r="AK141" t="str" cm="1">
        <f t="array" ref="AK141">_xlfn.IFS(A141&lt;25,"UNDER 25",A141&lt;=34,"25-34",A141&lt;=44,"35-44",A141&lt;=54,"45-54",TRUE,"OVER 55")</f>
        <v>25-34</v>
      </c>
    </row>
    <row r="142" spans="1:37"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f t="shared" si="2"/>
        <v>1</v>
      </c>
      <c r="AK142" t="str" cm="1">
        <f t="array" ref="AK142">_xlfn.IFS(A142&lt;25,"UNDER 25",A142&lt;=34,"25-34",A142&lt;=44,"35-44",A142&lt;=54,"45-54",TRUE,"OVER 55")</f>
        <v>25-34</v>
      </c>
    </row>
    <row r="143" spans="1:37"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f t="shared" si="2"/>
        <v>0</v>
      </c>
      <c r="AK143" t="str" cm="1">
        <f t="array" ref="AK143">_xlfn.IFS(A143&lt;25,"UNDER 25",A143&lt;=34,"25-34",A143&lt;=44,"35-44",A143&lt;=54,"45-54",TRUE,"OVER 55")</f>
        <v>45-54</v>
      </c>
    </row>
    <row r="144" spans="1:37"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f t="shared" si="2"/>
        <v>0</v>
      </c>
      <c r="AK144" t="str" cm="1">
        <f t="array" ref="AK144">_xlfn.IFS(A144&lt;25,"UNDER 25",A144&lt;=34,"25-34",A144&lt;=44,"35-44",A144&lt;=54,"45-54",TRUE,"OVER 55")</f>
        <v>35-44</v>
      </c>
    </row>
    <row r="145" spans="1:37"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f t="shared" si="2"/>
        <v>0</v>
      </c>
      <c r="AK145" t="str" cm="1">
        <f t="array" ref="AK145">_xlfn.IFS(A145&lt;25,"UNDER 25",A145&lt;=34,"25-34",A145&lt;=44,"35-44",A145&lt;=54,"45-54",TRUE,"OVER 55")</f>
        <v>25-34</v>
      </c>
    </row>
    <row r="146" spans="1:37"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f t="shared" si="2"/>
        <v>0</v>
      </c>
      <c r="AK146" t="str" cm="1">
        <f t="array" ref="AK146">_xlfn.IFS(A146&lt;25,"UNDER 25",A146&lt;=34,"25-34",A146&lt;=44,"35-44",A146&lt;=54,"45-54",TRUE,"OVER 55")</f>
        <v>25-34</v>
      </c>
    </row>
    <row r="147" spans="1:37"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f t="shared" si="2"/>
        <v>0</v>
      </c>
      <c r="AK147" t="str" cm="1">
        <f t="array" ref="AK147">_xlfn.IFS(A147&lt;25,"UNDER 25",A147&lt;=34,"25-34",A147&lt;=44,"35-44",A147&lt;=54,"45-54",TRUE,"OVER 55")</f>
        <v>25-34</v>
      </c>
    </row>
    <row r="148" spans="1:37"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f t="shared" si="2"/>
        <v>0</v>
      </c>
      <c r="AK148" t="str" cm="1">
        <f t="array" ref="AK148">_xlfn.IFS(A148&lt;25,"UNDER 25",A148&lt;=34,"25-34",A148&lt;=44,"35-44",A148&lt;=54,"45-54",TRUE,"OVER 55")</f>
        <v>25-34</v>
      </c>
    </row>
    <row r="149" spans="1:37"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f t="shared" si="2"/>
        <v>0</v>
      </c>
      <c r="AK149" t="str" cm="1">
        <f t="array" ref="AK149">_xlfn.IFS(A149&lt;25,"UNDER 25",A149&lt;=34,"25-34",A149&lt;=44,"35-44",A149&lt;=54,"45-54",TRUE,"OVER 55")</f>
        <v>35-44</v>
      </c>
    </row>
    <row r="150" spans="1:37"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f t="shared" si="2"/>
        <v>0</v>
      </c>
      <c r="AK150" t="str" cm="1">
        <f t="array" ref="AK150">_xlfn.IFS(A150&lt;25,"UNDER 25",A150&lt;=34,"25-34",A150&lt;=44,"35-44",A150&lt;=54,"45-54",TRUE,"OVER 55")</f>
        <v>35-44</v>
      </c>
    </row>
    <row r="151" spans="1:37"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f t="shared" si="2"/>
        <v>0</v>
      </c>
      <c r="AK151" t="str" cm="1">
        <f t="array" ref="AK151">_xlfn.IFS(A151&lt;25,"UNDER 25",A151&lt;=34,"25-34",A151&lt;=44,"35-44",A151&lt;=54,"45-54",TRUE,"OVER 55")</f>
        <v>UNDER 25</v>
      </c>
    </row>
    <row r="152" spans="1:37"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f t="shared" si="2"/>
        <v>0</v>
      </c>
      <c r="AK152" t="str" cm="1">
        <f t="array" ref="AK152">_xlfn.IFS(A152&lt;25,"UNDER 25",A152&lt;=34,"25-34",A152&lt;=44,"35-44",A152&lt;=54,"45-54",TRUE,"OVER 55")</f>
        <v>35-44</v>
      </c>
    </row>
    <row r="153" spans="1:37"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f t="shared" si="2"/>
        <v>0</v>
      </c>
      <c r="AK153" t="str" cm="1">
        <f t="array" ref="AK153">_xlfn.IFS(A153&lt;25,"UNDER 25",A153&lt;=34,"25-34",A153&lt;=44,"35-44",A153&lt;=54,"45-54",TRUE,"OVER 55")</f>
        <v>35-44</v>
      </c>
    </row>
    <row r="154" spans="1:37"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f t="shared" si="2"/>
        <v>0</v>
      </c>
      <c r="AK154" t="str" cm="1">
        <f t="array" ref="AK154">_xlfn.IFS(A154&lt;25,"UNDER 25",A154&lt;=34,"25-34",A154&lt;=44,"35-44",A154&lt;=54,"45-54",TRUE,"OVER 55")</f>
        <v>45-54</v>
      </c>
    </row>
    <row r="155" spans="1:37"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f t="shared" si="2"/>
        <v>0</v>
      </c>
      <c r="AK155" t="str" cm="1">
        <f t="array" ref="AK155">_xlfn.IFS(A155&lt;25,"UNDER 25",A155&lt;=34,"25-34",A155&lt;=44,"35-44",A155&lt;=54,"45-54",TRUE,"OVER 55")</f>
        <v>45-54</v>
      </c>
    </row>
    <row r="156" spans="1:37"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f t="shared" si="2"/>
        <v>0</v>
      </c>
      <c r="AK156" t="str" cm="1">
        <f t="array" ref="AK156">_xlfn.IFS(A156&lt;25,"UNDER 25",A156&lt;=34,"25-34",A156&lt;=44,"35-44",A156&lt;=54,"45-54",TRUE,"OVER 55")</f>
        <v>25-34</v>
      </c>
    </row>
    <row r="157" spans="1:37"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f t="shared" si="2"/>
        <v>0</v>
      </c>
      <c r="AK157" t="str" cm="1">
        <f t="array" ref="AK157">_xlfn.IFS(A157&lt;25,"UNDER 25",A157&lt;=34,"25-34",A157&lt;=44,"35-44",A157&lt;=54,"45-54",TRUE,"OVER 55")</f>
        <v>25-34</v>
      </c>
    </row>
    <row r="158" spans="1:37"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f t="shared" si="2"/>
        <v>0</v>
      </c>
      <c r="AK158" t="str" cm="1">
        <f t="array" ref="AK158">_xlfn.IFS(A158&lt;25,"UNDER 25",A158&lt;=34,"25-34",A158&lt;=44,"35-44",A158&lt;=54,"45-54",TRUE,"OVER 55")</f>
        <v>45-54</v>
      </c>
    </row>
    <row r="159" spans="1:37"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f t="shared" si="2"/>
        <v>0</v>
      </c>
      <c r="AK159" t="str" cm="1">
        <f t="array" ref="AK159">_xlfn.IFS(A159&lt;25,"UNDER 25",A159&lt;=34,"25-34",A159&lt;=44,"35-44",A159&lt;=54,"45-54",TRUE,"OVER 55")</f>
        <v>OVER 55</v>
      </c>
    </row>
    <row r="160" spans="1:37"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f t="shared" si="2"/>
        <v>0</v>
      </c>
      <c r="AK160" t="str" cm="1">
        <f t="array" ref="AK160">_xlfn.IFS(A160&lt;25,"UNDER 25",A160&lt;=34,"25-34",A160&lt;=44,"35-44",A160&lt;=54,"45-54",TRUE,"OVER 55")</f>
        <v>35-44</v>
      </c>
    </row>
    <row r="161" spans="1:37"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f t="shared" si="2"/>
        <v>0</v>
      </c>
      <c r="AK161" t="str" cm="1">
        <f t="array" ref="AK161">_xlfn.IFS(A161&lt;25,"UNDER 25",A161&lt;=34,"25-34",A161&lt;=44,"35-44",A161&lt;=54,"45-54",TRUE,"OVER 55")</f>
        <v>25-34</v>
      </c>
    </row>
    <row r="162" spans="1:37"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f t="shared" si="2"/>
        <v>0</v>
      </c>
      <c r="AK162" t="str" cm="1">
        <f t="array" ref="AK162">_xlfn.IFS(A162&lt;25,"UNDER 25",A162&lt;=34,"25-34",A162&lt;=44,"35-44",A162&lt;=54,"45-54",TRUE,"OVER 55")</f>
        <v>UNDER 25</v>
      </c>
    </row>
    <row r="163" spans="1:37"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f t="shared" si="2"/>
        <v>0</v>
      </c>
      <c r="AK163" t="str" cm="1">
        <f t="array" ref="AK163">_xlfn.IFS(A163&lt;25,"UNDER 25",A163&lt;=34,"25-34",A163&lt;=44,"35-44",A163&lt;=54,"45-54",TRUE,"OVER 55")</f>
        <v>25-34</v>
      </c>
    </row>
    <row r="164" spans="1:37"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f t="shared" si="2"/>
        <v>0</v>
      </c>
      <c r="AK164" t="str" cm="1">
        <f t="array" ref="AK164">_xlfn.IFS(A164&lt;25,"UNDER 25",A164&lt;=34,"25-34",A164&lt;=44,"35-44",A164&lt;=54,"45-54",TRUE,"OVER 55")</f>
        <v>25-34</v>
      </c>
    </row>
    <row r="165" spans="1:37"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f t="shared" si="2"/>
        <v>0</v>
      </c>
      <c r="AK165" t="str" cm="1">
        <f t="array" ref="AK165">_xlfn.IFS(A165&lt;25,"UNDER 25",A165&lt;=34,"25-34",A165&lt;=44,"35-44",A165&lt;=54,"45-54",TRUE,"OVER 55")</f>
        <v>OVER 55</v>
      </c>
    </row>
    <row r="166" spans="1:37"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f t="shared" si="2"/>
        <v>0</v>
      </c>
      <c r="AK166" t="str" cm="1">
        <f t="array" ref="AK166">_xlfn.IFS(A166&lt;25,"UNDER 25",A166&lt;=34,"25-34",A166&lt;=44,"35-44",A166&lt;=54,"45-54",TRUE,"OVER 55")</f>
        <v>25-34</v>
      </c>
    </row>
    <row r="167" spans="1:37"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f t="shared" si="2"/>
        <v>0</v>
      </c>
      <c r="AK167" t="str" cm="1">
        <f t="array" ref="AK167">_xlfn.IFS(A167&lt;25,"UNDER 25",A167&lt;=34,"25-34",A167&lt;=44,"35-44",A167&lt;=54,"45-54",TRUE,"OVER 55")</f>
        <v>45-54</v>
      </c>
    </row>
    <row r="168" spans="1:37"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f t="shared" si="2"/>
        <v>0</v>
      </c>
      <c r="AK168" t="str" cm="1">
        <f t="array" ref="AK168">_xlfn.IFS(A168&lt;25,"UNDER 25",A168&lt;=34,"25-34",A168&lt;=44,"35-44",A168&lt;=54,"45-54",TRUE,"OVER 55")</f>
        <v>35-44</v>
      </c>
    </row>
    <row r="169" spans="1:37"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f t="shared" si="2"/>
        <v>0</v>
      </c>
      <c r="AK169" t="str" cm="1">
        <f t="array" ref="AK169">_xlfn.IFS(A169&lt;25,"UNDER 25",A169&lt;=34,"25-34",A169&lt;=44,"35-44",A169&lt;=54,"45-54",TRUE,"OVER 55")</f>
        <v>25-34</v>
      </c>
    </row>
    <row r="170" spans="1:37"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f t="shared" si="2"/>
        <v>0</v>
      </c>
      <c r="AK170" t="str" cm="1">
        <f t="array" ref="AK170">_xlfn.IFS(A170&lt;25,"UNDER 25",A170&lt;=34,"25-34",A170&lt;=44,"35-44",A170&lt;=54,"45-54",TRUE,"OVER 55")</f>
        <v>35-44</v>
      </c>
    </row>
    <row r="171" spans="1:37"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f t="shared" si="2"/>
        <v>0</v>
      </c>
      <c r="AK171" t="str" cm="1">
        <f t="array" ref="AK171">_xlfn.IFS(A171&lt;25,"UNDER 25",A171&lt;=34,"25-34",A171&lt;=44,"35-44",A171&lt;=54,"45-54",TRUE,"OVER 55")</f>
        <v>25-34</v>
      </c>
    </row>
    <row r="172" spans="1:37"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f t="shared" si="2"/>
        <v>0</v>
      </c>
      <c r="AK172" t="str" cm="1">
        <f t="array" ref="AK172">_xlfn.IFS(A172&lt;25,"UNDER 25",A172&lt;=34,"25-34",A172&lt;=44,"35-44",A172&lt;=54,"45-54",TRUE,"OVER 55")</f>
        <v>25-34</v>
      </c>
    </row>
    <row r="173" spans="1:37"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f t="shared" si="2"/>
        <v>1</v>
      </c>
      <c r="AK173" t="str" cm="1">
        <f t="array" ref="AK173">_xlfn.IFS(A173&lt;25,"UNDER 25",A173&lt;=34,"25-34",A173&lt;=44,"35-44",A173&lt;=54,"45-54",TRUE,"OVER 55")</f>
        <v>UNDER 25</v>
      </c>
    </row>
    <row r="174" spans="1:37"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f t="shared" si="2"/>
        <v>0</v>
      </c>
      <c r="AK174" t="str" cm="1">
        <f t="array" ref="AK174">_xlfn.IFS(A174&lt;25,"UNDER 25",A174&lt;=34,"25-34",A174&lt;=44,"35-44",A174&lt;=54,"45-54",TRUE,"OVER 55")</f>
        <v>35-44</v>
      </c>
    </row>
    <row r="175" spans="1:37"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f t="shared" si="2"/>
        <v>0</v>
      </c>
      <c r="AK175" t="str" cm="1">
        <f t="array" ref="AK175">_xlfn.IFS(A175&lt;25,"UNDER 25",A175&lt;=34,"25-34",A175&lt;=44,"35-44",A175&lt;=54,"45-54",TRUE,"OVER 55")</f>
        <v>25-34</v>
      </c>
    </row>
    <row r="176" spans="1:37"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f t="shared" si="2"/>
        <v>0</v>
      </c>
      <c r="AK176" t="str" cm="1">
        <f t="array" ref="AK176">_xlfn.IFS(A176&lt;25,"UNDER 25",A176&lt;=34,"25-34",A176&lt;=44,"35-44",A176&lt;=54,"45-54",TRUE,"OVER 55")</f>
        <v>45-54</v>
      </c>
    </row>
    <row r="177" spans="1:37"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f t="shared" si="2"/>
        <v>0</v>
      </c>
      <c r="AK177" t="str" cm="1">
        <f t="array" ref="AK177">_xlfn.IFS(A177&lt;25,"UNDER 25",A177&lt;=34,"25-34",A177&lt;=44,"35-44",A177&lt;=54,"45-54",TRUE,"OVER 55")</f>
        <v>OVER 55</v>
      </c>
    </row>
    <row r="178" spans="1:37"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f t="shared" si="2"/>
        <v>0</v>
      </c>
      <c r="AK178" t="str" cm="1">
        <f t="array" ref="AK178">_xlfn.IFS(A178&lt;25,"UNDER 25",A178&lt;=34,"25-34",A178&lt;=44,"35-44",A178&lt;=54,"45-54",TRUE,"OVER 55")</f>
        <v>25-34</v>
      </c>
    </row>
    <row r="179" spans="1:37"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f t="shared" si="2"/>
        <v>1</v>
      </c>
      <c r="AK179" t="str" cm="1">
        <f t="array" ref="AK179">_xlfn.IFS(A179&lt;25,"UNDER 25",A179&lt;=34,"25-34",A179&lt;=44,"35-44",A179&lt;=54,"45-54",TRUE,"OVER 55")</f>
        <v>UNDER 25</v>
      </c>
    </row>
    <row r="180" spans="1:37"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f t="shared" si="2"/>
        <v>0</v>
      </c>
      <c r="AK180" t="str" cm="1">
        <f t="array" ref="AK180">_xlfn.IFS(A180&lt;25,"UNDER 25",A180&lt;=34,"25-34",A180&lt;=44,"35-44",A180&lt;=54,"45-54",TRUE,"OVER 55")</f>
        <v>45-54</v>
      </c>
    </row>
    <row r="181" spans="1:37"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f t="shared" si="2"/>
        <v>0</v>
      </c>
      <c r="AK181" t="str" cm="1">
        <f t="array" ref="AK181">_xlfn.IFS(A181&lt;25,"UNDER 25",A181&lt;=34,"25-34",A181&lt;=44,"35-44",A181&lt;=54,"45-54",TRUE,"OVER 55")</f>
        <v>35-44</v>
      </c>
    </row>
    <row r="182" spans="1:37"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f t="shared" si="2"/>
        <v>0</v>
      </c>
      <c r="AK182" t="str" cm="1">
        <f t="array" ref="AK182">_xlfn.IFS(A182&lt;25,"UNDER 25",A182&lt;=34,"25-34",A182&lt;=44,"35-44",A182&lt;=54,"45-54",TRUE,"OVER 55")</f>
        <v>25-34</v>
      </c>
    </row>
    <row r="183" spans="1:37"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f t="shared" si="2"/>
        <v>0</v>
      </c>
      <c r="AK183" t="str" cm="1">
        <f t="array" ref="AK183">_xlfn.IFS(A183&lt;25,"UNDER 25",A183&lt;=34,"25-34",A183&lt;=44,"35-44",A183&lt;=54,"45-54",TRUE,"OVER 55")</f>
        <v>25-34</v>
      </c>
    </row>
    <row r="184" spans="1:37"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f t="shared" si="2"/>
        <v>1</v>
      </c>
      <c r="AK184" t="str" cm="1">
        <f t="array" ref="AK184">_xlfn.IFS(A184&lt;25,"UNDER 25",A184&lt;=34,"25-34",A184&lt;=44,"35-44",A184&lt;=54,"45-54",TRUE,"OVER 55")</f>
        <v>35-44</v>
      </c>
    </row>
    <row r="185" spans="1:37"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f t="shared" si="2"/>
        <v>0</v>
      </c>
      <c r="AK185" t="str" cm="1">
        <f t="array" ref="AK185">_xlfn.IFS(A185&lt;25,"UNDER 25",A185&lt;=34,"25-34",A185&lt;=44,"35-44",A185&lt;=54,"45-54",TRUE,"OVER 55")</f>
        <v>45-54</v>
      </c>
    </row>
    <row r="186" spans="1:37"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f t="shared" si="2"/>
        <v>0</v>
      </c>
      <c r="AK186" t="str" cm="1">
        <f t="array" ref="AK186">_xlfn.IFS(A186&lt;25,"UNDER 25",A186&lt;=34,"25-34",A186&lt;=44,"35-44",A186&lt;=54,"45-54",TRUE,"OVER 55")</f>
        <v>45-54</v>
      </c>
    </row>
    <row r="187" spans="1:37"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f t="shared" si="2"/>
        <v>0</v>
      </c>
      <c r="AK187" t="str" cm="1">
        <f t="array" ref="AK187">_xlfn.IFS(A187&lt;25,"UNDER 25",A187&lt;=34,"25-34",A187&lt;=44,"35-44",A187&lt;=54,"45-54",TRUE,"OVER 55")</f>
        <v>25-34</v>
      </c>
    </row>
    <row r="188" spans="1:37"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f t="shared" si="2"/>
        <v>0</v>
      </c>
      <c r="AK188" t="str" cm="1">
        <f t="array" ref="AK188">_xlfn.IFS(A188&lt;25,"UNDER 25",A188&lt;=34,"25-34",A188&lt;=44,"35-44",A188&lt;=54,"45-54",TRUE,"OVER 55")</f>
        <v>35-44</v>
      </c>
    </row>
    <row r="189" spans="1:37"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f t="shared" si="2"/>
        <v>0</v>
      </c>
      <c r="AK189" t="str" cm="1">
        <f t="array" ref="AK189">_xlfn.IFS(A189&lt;25,"UNDER 25",A189&lt;=34,"25-34",A189&lt;=44,"35-44",A189&lt;=54,"45-54",TRUE,"OVER 55")</f>
        <v>OVER 55</v>
      </c>
    </row>
    <row r="190" spans="1:37"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f t="shared" si="2"/>
        <v>0</v>
      </c>
      <c r="AK190" t="str" cm="1">
        <f t="array" ref="AK190">_xlfn.IFS(A190&lt;25,"UNDER 25",A190&lt;=34,"25-34",A190&lt;=44,"35-44",A190&lt;=54,"45-54",TRUE,"OVER 55")</f>
        <v>25-34</v>
      </c>
    </row>
    <row r="191" spans="1:37"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f t="shared" si="2"/>
        <v>0</v>
      </c>
      <c r="AK191" t="str" cm="1">
        <f t="array" ref="AK191">_xlfn.IFS(A191&lt;25,"UNDER 25",A191&lt;=34,"25-34",A191&lt;=44,"35-44",A191&lt;=54,"45-54",TRUE,"OVER 55")</f>
        <v>45-54</v>
      </c>
    </row>
    <row r="192" spans="1:37"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f t="shared" si="2"/>
        <v>0</v>
      </c>
      <c r="AK192" t="str" cm="1">
        <f t="array" ref="AK192">_xlfn.IFS(A192&lt;25,"UNDER 25",A192&lt;=34,"25-34",A192&lt;=44,"35-44",A192&lt;=54,"45-54",TRUE,"OVER 55")</f>
        <v>45-54</v>
      </c>
    </row>
    <row r="193" spans="1:37"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f t="shared" si="2"/>
        <v>0</v>
      </c>
      <c r="AK193" t="str" cm="1">
        <f t="array" ref="AK193">_xlfn.IFS(A193&lt;25,"UNDER 25",A193&lt;=34,"25-34",A193&lt;=44,"35-44",A193&lt;=54,"45-54",TRUE,"OVER 55")</f>
        <v>25-34</v>
      </c>
    </row>
    <row r="194" spans="1:37"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f t="shared" si="2"/>
        <v>1</v>
      </c>
      <c r="AK194" t="str" cm="1">
        <f t="array" ref="AK194">_xlfn.IFS(A194&lt;25,"UNDER 25",A194&lt;=34,"25-34",A194&lt;=44,"35-44",A194&lt;=54,"45-54",TRUE,"OVER 55")</f>
        <v>35-44</v>
      </c>
    </row>
    <row r="195" spans="1:37"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f t="shared" ref="AJ195:AJ258" si="3">IF(B195="yes",1,0)</f>
        <v>0</v>
      </c>
      <c r="AK195" t="str" cm="1">
        <f t="array" ref="AK195">_xlfn.IFS(A195&lt;25,"UNDER 25",A195&lt;=34,"25-34",A195&lt;=44,"35-44",A195&lt;=54,"45-54",TRUE,"OVER 55")</f>
        <v>35-44</v>
      </c>
    </row>
    <row r="196" spans="1:37"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f t="shared" si="3"/>
        <v>0</v>
      </c>
      <c r="AK196" t="str" cm="1">
        <f t="array" ref="AK196">_xlfn.IFS(A196&lt;25,"UNDER 25",A196&lt;=34,"25-34",A196&lt;=44,"35-44",A196&lt;=54,"45-54",TRUE,"OVER 55")</f>
        <v>45-54</v>
      </c>
    </row>
    <row r="197" spans="1:37"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f t="shared" si="3"/>
        <v>0</v>
      </c>
      <c r="AK197" t="str" cm="1">
        <f t="array" ref="AK197">_xlfn.IFS(A197&lt;25,"UNDER 25",A197&lt;=34,"25-34",A197&lt;=44,"35-44",A197&lt;=54,"45-54",TRUE,"OVER 55")</f>
        <v>35-44</v>
      </c>
    </row>
    <row r="198" spans="1:37"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f t="shared" si="3"/>
        <v>0</v>
      </c>
      <c r="AK198" t="str" cm="1">
        <f t="array" ref="AK198">_xlfn.IFS(A198&lt;25,"UNDER 25",A198&lt;=34,"25-34",A198&lt;=44,"35-44",A198&lt;=54,"45-54",TRUE,"OVER 55")</f>
        <v>35-44</v>
      </c>
    </row>
    <row r="199" spans="1:37"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f t="shared" si="3"/>
        <v>0</v>
      </c>
      <c r="AK199" t="str" cm="1">
        <f t="array" ref="AK199">_xlfn.IFS(A199&lt;25,"UNDER 25",A199&lt;=34,"25-34",A199&lt;=44,"35-44",A199&lt;=54,"45-54",TRUE,"OVER 55")</f>
        <v>35-44</v>
      </c>
    </row>
    <row r="200" spans="1:37"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f t="shared" si="3"/>
        <v>0</v>
      </c>
      <c r="AK200" t="str" cm="1">
        <f t="array" ref="AK200">_xlfn.IFS(A200&lt;25,"UNDER 25",A200&lt;=34,"25-34",A200&lt;=44,"35-44",A200&lt;=54,"45-54",TRUE,"OVER 55")</f>
        <v>35-44</v>
      </c>
    </row>
    <row r="201" spans="1:37"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f t="shared" si="3"/>
        <v>0</v>
      </c>
      <c r="AK201" t="str" cm="1">
        <f t="array" ref="AK201">_xlfn.IFS(A201&lt;25,"UNDER 25",A201&lt;=34,"25-34",A201&lt;=44,"35-44",A201&lt;=54,"45-54",TRUE,"OVER 55")</f>
        <v>35-44</v>
      </c>
    </row>
    <row r="202" spans="1:37"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f t="shared" si="3"/>
        <v>0</v>
      </c>
      <c r="AK202" t="str" cm="1">
        <f t="array" ref="AK202">_xlfn.IFS(A202&lt;25,"UNDER 25",A202&lt;=34,"25-34",A202&lt;=44,"35-44",A202&lt;=54,"45-54",TRUE,"OVER 55")</f>
        <v>25-34</v>
      </c>
    </row>
    <row r="203" spans="1:37"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f t="shared" si="3"/>
        <v>0</v>
      </c>
      <c r="AK203" t="str" cm="1">
        <f t="array" ref="AK203">_xlfn.IFS(A203&lt;25,"UNDER 25",A203&lt;=34,"25-34",A203&lt;=44,"35-44",A203&lt;=54,"45-54",TRUE,"OVER 55")</f>
        <v>45-54</v>
      </c>
    </row>
    <row r="204" spans="1:37"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f t="shared" si="3"/>
        <v>0</v>
      </c>
      <c r="AK204" t="str" cm="1">
        <f t="array" ref="AK204">_xlfn.IFS(A204&lt;25,"UNDER 25",A204&lt;=34,"25-34",A204&lt;=44,"35-44",A204&lt;=54,"45-54",TRUE,"OVER 55")</f>
        <v>25-34</v>
      </c>
    </row>
    <row r="205" spans="1:37"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f t="shared" si="3"/>
        <v>0</v>
      </c>
      <c r="AK205" t="str" cm="1">
        <f t="array" ref="AK205">_xlfn.IFS(A205&lt;25,"UNDER 25",A205&lt;=34,"25-34",A205&lt;=44,"35-44",A205&lt;=54,"45-54",TRUE,"OVER 55")</f>
        <v>35-44</v>
      </c>
    </row>
    <row r="206" spans="1:37"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f t="shared" si="3"/>
        <v>1</v>
      </c>
      <c r="AK206" t="str" cm="1">
        <f t="array" ref="AK206">_xlfn.IFS(A206&lt;25,"UNDER 25",A206&lt;=34,"25-34",A206&lt;=44,"35-44",A206&lt;=54,"45-54",TRUE,"OVER 55")</f>
        <v>35-44</v>
      </c>
    </row>
    <row r="207" spans="1:37"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f t="shared" si="3"/>
        <v>1</v>
      </c>
      <c r="AK207" t="str" cm="1">
        <f t="array" ref="AK207">_xlfn.IFS(A207&lt;25,"UNDER 25",A207&lt;=34,"25-34",A207&lt;=44,"35-44",A207&lt;=54,"45-54",TRUE,"OVER 55")</f>
        <v>25-34</v>
      </c>
    </row>
    <row r="208" spans="1:37"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f t="shared" si="3"/>
        <v>0</v>
      </c>
      <c r="AK208" t="str" cm="1">
        <f t="array" ref="AK208">_xlfn.IFS(A208&lt;25,"UNDER 25",A208&lt;=34,"25-34",A208&lt;=44,"35-44",A208&lt;=54,"45-54",TRUE,"OVER 55")</f>
        <v>UNDER 25</v>
      </c>
    </row>
    <row r="209" spans="1:37"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f t="shared" si="3"/>
        <v>0</v>
      </c>
      <c r="AK209" t="str" cm="1">
        <f t="array" ref="AK209">_xlfn.IFS(A209&lt;25,"UNDER 25",A209&lt;=34,"25-34",A209&lt;=44,"35-44",A209&lt;=54,"45-54",TRUE,"OVER 55")</f>
        <v>35-44</v>
      </c>
    </row>
    <row r="210" spans="1:37"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f t="shared" si="3"/>
        <v>0</v>
      </c>
      <c r="AK210" t="str" cm="1">
        <f t="array" ref="AK210">_xlfn.IFS(A210&lt;25,"UNDER 25",A210&lt;=34,"25-34",A210&lt;=44,"35-44",A210&lt;=54,"45-54",TRUE,"OVER 55")</f>
        <v>35-44</v>
      </c>
    </row>
    <row r="211" spans="1:37"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f t="shared" si="3"/>
        <v>0</v>
      </c>
      <c r="AK211" t="str" cm="1">
        <f t="array" ref="AK211">_xlfn.IFS(A211&lt;25,"UNDER 25",A211&lt;=34,"25-34",A211&lt;=44,"35-44",A211&lt;=54,"45-54",TRUE,"OVER 55")</f>
        <v>45-54</v>
      </c>
    </row>
    <row r="212" spans="1:37"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f t="shared" si="3"/>
        <v>1</v>
      </c>
      <c r="AK212" t="str" cm="1">
        <f t="array" ref="AK212">_xlfn.IFS(A212&lt;25,"UNDER 25",A212&lt;=34,"25-34",A212&lt;=44,"35-44",A212&lt;=54,"45-54",TRUE,"OVER 55")</f>
        <v>25-34</v>
      </c>
    </row>
    <row r="213" spans="1:37"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f t="shared" si="3"/>
        <v>0</v>
      </c>
      <c r="AK213" t="str" cm="1">
        <f t="array" ref="AK213">_xlfn.IFS(A213&lt;25,"UNDER 25",A213&lt;=34,"25-34",A213&lt;=44,"35-44",A213&lt;=54,"45-54",TRUE,"OVER 55")</f>
        <v>25-34</v>
      </c>
    </row>
    <row r="214" spans="1:37"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f t="shared" si="3"/>
        <v>0</v>
      </c>
      <c r="AK214" t="str" cm="1">
        <f t="array" ref="AK214">_xlfn.IFS(A214&lt;25,"UNDER 25",A214&lt;=34,"25-34",A214&lt;=44,"35-44",A214&lt;=54,"45-54",TRUE,"OVER 55")</f>
        <v>25-34</v>
      </c>
    </row>
    <row r="215" spans="1:37"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f t="shared" si="3"/>
        <v>0</v>
      </c>
      <c r="AK215" t="str" cm="1">
        <f t="array" ref="AK215">_xlfn.IFS(A215&lt;25,"UNDER 25",A215&lt;=34,"25-34",A215&lt;=44,"35-44",A215&lt;=54,"45-54",TRUE,"OVER 55")</f>
        <v>45-54</v>
      </c>
    </row>
    <row r="216" spans="1:37"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f t="shared" si="3"/>
        <v>1</v>
      </c>
      <c r="AK216" t="str" cm="1">
        <f t="array" ref="AK216">_xlfn.IFS(A216&lt;25,"UNDER 25",A216&lt;=34,"25-34",A216&lt;=44,"35-44",A216&lt;=54,"45-54",TRUE,"OVER 55")</f>
        <v>25-34</v>
      </c>
    </row>
    <row r="217" spans="1:37"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f t="shared" si="3"/>
        <v>0</v>
      </c>
      <c r="AK217" t="str" cm="1">
        <f t="array" ref="AK217">_xlfn.IFS(A217&lt;25,"UNDER 25",A217&lt;=34,"25-34",A217&lt;=44,"35-44",A217&lt;=54,"45-54",TRUE,"OVER 55")</f>
        <v>35-44</v>
      </c>
    </row>
    <row r="218" spans="1:37"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f t="shared" si="3"/>
        <v>1</v>
      </c>
      <c r="AK218" t="str" cm="1">
        <f t="array" ref="AK218">_xlfn.IFS(A218&lt;25,"UNDER 25",A218&lt;=34,"25-34",A218&lt;=44,"35-44",A218&lt;=54,"45-54",TRUE,"OVER 55")</f>
        <v>25-34</v>
      </c>
    </row>
    <row r="219" spans="1:37"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f t="shared" si="3"/>
        <v>1</v>
      </c>
      <c r="AK219" t="str" cm="1">
        <f t="array" ref="AK219">_xlfn.IFS(A219&lt;25,"UNDER 25",A219&lt;=34,"25-34",A219&lt;=44,"35-44",A219&lt;=54,"45-54",TRUE,"OVER 55")</f>
        <v>25-34</v>
      </c>
    </row>
    <row r="220" spans="1:37"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f t="shared" si="3"/>
        <v>0</v>
      </c>
      <c r="AK220" t="str" cm="1">
        <f t="array" ref="AK220">_xlfn.IFS(A220&lt;25,"UNDER 25",A220&lt;=34,"25-34",A220&lt;=44,"35-44",A220&lt;=54,"45-54",TRUE,"OVER 55")</f>
        <v>45-54</v>
      </c>
    </row>
    <row r="221" spans="1:37"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f t="shared" si="3"/>
        <v>0</v>
      </c>
      <c r="AK221" t="str" cm="1">
        <f t="array" ref="AK221">_xlfn.IFS(A221&lt;25,"UNDER 25",A221&lt;=34,"25-34",A221&lt;=44,"35-44",A221&lt;=54,"45-54",TRUE,"OVER 55")</f>
        <v>45-54</v>
      </c>
    </row>
    <row r="222" spans="1:37"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f t="shared" si="3"/>
        <v>0</v>
      </c>
      <c r="AK222" t="str" cm="1">
        <f t="array" ref="AK222">_xlfn.IFS(A222&lt;25,"UNDER 25",A222&lt;=34,"25-34",A222&lt;=44,"35-44",A222&lt;=54,"45-54",TRUE,"OVER 55")</f>
        <v>35-44</v>
      </c>
    </row>
    <row r="223" spans="1:37"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f t="shared" si="3"/>
        <v>0</v>
      </c>
      <c r="AK223" t="str" cm="1">
        <f t="array" ref="AK223">_xlfn.IFS(A223&lt;25,"UNDER 25",A223&lt;=34,"25-34",A223&lt;=44,"35-44",A223&lt;=54,"45-54",TRUE,"OVER 55")</f>
        <v>25-34</v>
      </c>
    </row>
    <row r="224" spans="1:37"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f t="shared" si="3"/>
        <v>0</v>
      </c>
      <c r="AK224" t="str" cm="1">
        <f t="array" ref="AK224">_xlfn.IFS(A224&lt;25,"UNDER 25",A224&lt;=34,"25-34",A224&lt;=44,"35-44",A224&lt;=54,"45-54",TRUE,"OVER 55")</f>
        <v>35-44</v>
      </c>
    </row>
    <row r="225" spans="1:37"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f t="shared" si="3"/>
        <v>0</v>
      </c>
      <c r="AK225" t="str" cm="1">
        <f t="array" ref="AK225">_xlfn.IFS(A225&lt;25,"UNDER 25",A225&lt;=34,"25-34",A225&lt;=44,"35-44",A225&lt;=54,"45-54",TRUE,"OVER 55")</f>
        <v>35-44</v>
      </c>
    </row>
    <row r="226" spans="1:37"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f t="shared" si="3"/>
        <v>0</v>
      </c>
      <c r="AK226" t="str" cm="1">
        <f t="array" ref="AK226">_xlfn.IFS(A226&lt;25,"UNDER 25",A226&lt;=34,"25-34",A226&lt;=44,"35-44",A226&lt;=54,"45-54",TRUE,"OVER 55")</f>
        <v>25-34</v>
      </c>
    </row>
    <row r="227" spans="1:37"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f t="shared" si="3"/>
        <v>0</v>
      </c>
      <c r="AK227" t="str" cm="1">
        <f t="array" ref="AK227">_xlfn.IFS(A227&lt;25,"UNDER 25",A227&lt;=34,"25-34",A227&lt;=44,"35-44",A227&lt;=54,"45-54",TRUE,"OVER 55")</f>
        <v>OVER 55</v>
      </c>
    </row>
    <row r="228" spans="1:37"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f t="shared" si="3"/>
        <v>0</v>
      </c>
      <c r="AK228" t="str" cm="1">
        <f t="array" ref="AK228">_xlfn.IFS(A228&lt;25,"UNDER 25",A228&lt;=34,"25-34",A228&lt;=44,"35-44",A228&lt;=54,"45-54",TRUE,"OVER 55")</f>
        <v>35-44</v>
      </c>
    </row>
    <row r="229" spans="1:37"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f t="shared" si="3"/>
        <v>0</v>
      </c>
      <c r="AK229" t="str" cm="1">
        <f t="array" ref="AK229">_xlfn.IFS(A229&lt;25,"UNDER 25",A229&lt;=34,"25-34",A229&lt;=44,"35-44",A229&lt;=54,"45-54",TRUE,"OVER 55")</f>
        <v>25-34</v>
      </c>
    </row>
    <row r="230" spans="1:37"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f t="shared" si="3"/>
        <v>0</v>
      </c>
      <c r="AK230" t="str" cm="1">
        <f t="array" ref="AK230">_xlfn.IFS(A230&lt;25,"UNDER 25",A230&lt;=34,"25-34",A230&lt;=44,"35-44",A230&lt;=54,"45-54",TRUE,"OVER 55")</f>
        <v>35-44</v>
      </c>
    </row>
    <row r="231" spans="1:37"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f t="shared" si="3"/>
        <v>1</v>
      </c>
      <c r="AK231" t="str" cm="1">
        <f t="array" ref="AK231">_xlfn.IFS(A231&lt;25,"UNDER 25",A231&lt;=34,"25-34",A231&lt;=44,"35-44",A231&lt;=54,"45-54",TRUE,"OVER 55")</f>
        <v>25-34</v>
      </c>
    </row>
    <row r="232" spans="1:37"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f t="shared" si="3"/>
        <v>0</v>
      </c>
      <c r="AK232" t="str" cm="1">
        <f t="array" ref="AK232">_xlfn.IFS(A232&lt;25,"UNDER 25",A232&lt;=34,"25-34",A232&lt;=44,"35-44",A232&lt;=54,"45-54",TRUE,"OVER 55")</f>
        <v>45-54</v>
      </c>
    </row>
    <row r="233" spans="1:37"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f t="shared" si="3"/>
        <v>0</v>
      </c>
      <c r="AK233" t="str" cm="1">
        <f t="array" ref="AK233">_xlfn.IFS(A233&lt;25,"UNDER 25",A233&lt;=34,"25-34",A233&lt;=44,"35-44",A233&lt;=54,"45-54",TRUE,"OVER 55")</f>
        <v>35-44</v>
      </c>
    </row>
    <row r="234" spans="1:37"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f t="shared" si="3"/>
        <v>0</v>
      </c>
      <c r="AK234" t="str" cm="1">
        <f t="array" ref="AK234">_xlfn.IFS(A234&lt;25,"UNDER 25",A234&lt;=34,"25-34",A234&lt;=44,"35-44",A234&lt;=54,"45-54",TRUE,"OVER 55")</f>
        <v>OVER 55</v>
      </c>
    </row>
    <row r="235" spans="1:37"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f t="shared" si="3"/>
        <v>0</v>
      </c>
      <c r="AK235" t="str" cm="1">
        <f t="array" ref="AK235">_xlfn.IFS(A235&lt;25,"UNDER 25",A235&lt;=34,"25-34",A235&lt;=44,"35-44",A235&lt;=54,"45-54",TRUE,"OVER 55")</f>
        <v>45-54</v>
      </c>
    </row>
    <row r="236" spans="1:37"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f t="shared" si="3"/>
        <v>1</v>
      </c>
      <c r="AK236" t="str" cm="1">
        <f t="array" ref="AK236">_xlfn.IFS(A236&lt;25,"UNDER 25",A236&lt;=34,"25-34",A236&lt;=44,"35-44",A236&lt;=54,"45-54",TRUE,"OVER 55")</f>
        <v>25-34</v>
      </c>
    </row>
    <row r="237" spans="1:37"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f t="shared" si="3"/>
        <v>0</v>
      </c>
      <c r="AK237" t="str" cm="1">
        <f t="array" ref="AK237">_xlfn.IFS(A237&lt;25,"UNDER 25",A237&lt;=34,"25-34",A237&lt;=44,"35-44",A237&lt;=54,"45-54",TRUE,"OVER 55")</f>
        <v>35-44</v>
      </c>
    </row>
    <row r="238" spans="1:37"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f t="shared" si="3"/>
        <v>1</v>
      </c>
      <c r="AK238" t="str" cm="1">
        <f t="array" ref="AK238">_xlfn.IFS(A238&lt;25,"UNDER 25",A238&lt;=34,"25-34",A238&lt;=44,"35-44",A238&lt;=54,"45-54",TRUE,"OVER 55")</f>
        <v>25-34</v>
      </c>
    </row>
    <row r="239" spans="1:37"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f t="shared" si="3"/>
        <v>0</v>
      </c>
      <c r="AK239" t="str" cm="1">
        <f t="array" ref="AK239">_xlfn.IFS(A239&lt;25,"UNDER 25",A239&lt;=34,"25-34",A239&lt;=44,"35-44",A239&lt;=54,"45-54",TRUE,"OVER 55")</f>
        <v>45-54</v>
      </c>
    </row>
    <row r="240" spans="1:37"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f t="shared" si="3"/>
        <v>0</v>
      </c>
      <c r="AK240" t="str" cm="1">
        <f t="array" ref="AK240">_xlfn.IFS(A240&lt;25,"UNDER 25",A240&lt;=34,"25-34",A240&lt;=44,"35-44",A240&lt;=54,"45-54",TRUE,"OVER 55")</f>
        <v>25-34</v>
      </c>
    </row>
    <row r="241" spans="1:37"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f t="shared" si="3"/>
        <v>1</v>
      </c>
      <c r="AK241" t="str" cm="1">
        <f t="array" ref="AK241">_xlfn.IFS(A241&lt;25,"UNDER 25",A241&lt;=34,"25-34",A241&lt;=44,"35-44",A241&lt;=54,"45-54",TRUE,"OVER 55")</f>
        <v>25-34</v>
      </c>
    </row>
    <row r="242" spans="1:37"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f t="shared" si="3"/>
        <v>0</v>
      </c>
      <c r="AK242" t="str" cm="1">
        <f t="array" ref="AK242">_xlfn.IFS(A242&lt;25,"UNDER 25",A242&lt;=34,"25-34",A242&lt;=44,"35-44",A242&lt;=54,"45-54",TRUE,"OVER 55")</f>
        <v>35-44</v>
      </c>
    </row>
    <row r="243" spans="1:37"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f t="shared" si="3"/>
        <v>0</v>
      </c>
      <c r="AK243" t="str" cm="1">
        <f t="array" ref="AK243">_xlfn.IFS(A243&lt;25,"UNDER 25",A243&lt;=34,"25-34",A243&lt;=44,"35-44",A243&lt;=54,"45-54",TRUE,"OVER 55")</f>
        <v>25-34</v>
      </c>
    </row>
    <row r="244" spans="1:37"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f t="shared" si="3"/>
        <v>0</v>
      </c>
      <c r="AK244" t="str" cm="1">
        <f t="array" ref="AK244">_xlfn.IFS(A244&lt;25,"UNDER 25",A244&lt;=34,"25-34",A244&lt;=44,"35-44",A244&lt;=54,"45-54",TRUE,"OVER 55")</f>
        <v>35-44</v>
      </c>
    </row>
    <row r="245" spans="1:37"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f t="shared" si="3"/>
        <v>0</v>
      </c>
      <c r="AK245" t="str" cm="1">
        <f t="array" ref="AK245">_xlfn.IFS(A245&lt;25,"UNDER 25",A245&lt;=34,"25-34",A245&lt;=44,"35-44",A245&lt;=54,"45-54",TRUE,"OVER 55")</f>
        <v>35-44</v>
      </c>
    </row>
    <row r="246" spans="1:37"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f t="shared" si="3"/>
        <v>0</v>
      </c>
      <c r="AK246" t="str" cm="1">
        <f t="array" ref="AK246">_xlfn.IFS(A246&lt;25,"UNDER 25",A246&lt;=34,"25-34",A246&lt;=44,"35-44",A246&lt;=54,"45-54",TRUE,"OVER 55")</f>
        <v>45-54</v>
      </c>
    </row>
    <row r="247" spans="1:37"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f t="shared" si="3"/>
        <v>0</v>
      </c>
      <c r="AK247" t="str" cm="1">
        <f t="array" ref="AK247">_xlfn.IFS(A247&lt;25,"UNDER 25",A247&lt;=34,"25-34",A247&lt;=44,"35-44",A247&lt;=54,"45-54",TRUE,"OVER 55")</f>
        <v>25-34</v>
      </c>
    </row>
    <row r="248" spans="1:37"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f t="shared" si="3"/>
        <v>0</v>
      </c>
      <c r="AK248" t="str" cm="1">
        <f t="array" ref="AK248">_xlfn.IFS(A248&lt;25,"UNDER 25",A248&lt;=34,"25-34",A248&lt;=44,"35-44",A248&lt;=54,"45-54",TRUE,"OVER 55")</f>
        <v>25-34</v>
      </c>
    </row>
    <row r="249" spans="1:37"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f t="shared" si="3"/>
        <v>0</v>
      </c>
      <c r="AK249" t="str" cm="1">
        <f t="array" ref="AK249">_xlfn.IFS(A249&lt;25,"UNDER 25",A249&lt;=34,"25-34",A249&lt;=44,"35-44",A249&lt;=54,"45-54",TRUE,"OVER 55")</f>
        <v>25-34</v>
      </c>
    </row>
    <row r="250" spans="1:37"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f t="shared" si="3"/>
        <v>0</v>
      </c>
      <c r="AK250" t="str" cm="1">
        <f t="array" ref="AK250">_xlfn.IFS(A250&lt;25,"UNDER 25",A250&lt;=34,"25-34",A250&lt;=44,"35-44",A250&lt;=54,"45-54",TRUE,"OVER 55")</f>
        <v>35-44</v>
      </c>
    </row>
    <row r="251" spans="1:37"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f t="shared" si="3"/>
        <v>0</v>
      </c>
      <c r="AK251" t="str" cm="1">
        <f t="array" ref="AK251">_xlfn.IFS(A251&lt;25,"UNDER 25",A251&lt;=34,"25-34",A251&lt;=44,"35-44",A251&lt;=54,"45-54",TRUE,"OVER 55")</f>
        <v>45-54</v>
      </c>
    </row>
    <row r="252" spans="1:37"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f t="shared" si="3"/>
        <v>1</v>
      </c>
      <c r="AK252" t="str" cm="1">
        <f t="array" ref="AK252">_xlfn.IFS(A252&lt;25,"UNDER 25",A252&lt;=34,"25-34",A252&lt;=44,"35-44",A252&lt;=54,"45-54",TRUE,"OVER 55")</f>
        <v>35-44</v>
      </c>
    </row>
    <row r="253" spans="1:37"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f t="shared" si="3"/>
        <v>0</v>
      </c>
      <c r="AK253" t="str" cm="1">
        <f t="array" ref="AK253">_xlfn.IFS(A253&lt;25,"UNDER 25",A253&lt;=34,"25-34",A253&lt;=44,"35-44",A253&lt;=54,"45-54",TRUE,"OVER 55")</f>
        <v>35-44</v>
      </c>
    </row>
    <row r="254" spans="1:37"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f t="shared" si="3"/>
        <v>0</v>
      </c>
      <c r="AK254" t="str" cm="1">
        <f t="array" ref="AK254">_xlfn.IFS(A254&lt;25,"UNDER 25",A254&lt;=34,"25-34",A254&lt;=44,"35-44",A254&lt;=54,"45-54",TRUE,"OVER 55")</f>
        <v>25-34</v>
      </c>
    </row>
    <row r="255" spans="1:37"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f t="shared" si="3"/>
        <v>0</v>
      </c>
      <c r="AK255" t="str" cm="1">
        <f t="array" ref="AK255">_xlfn.IFS(A255&lt;25,"UNDER 25",A255&lt;=34,"25-34",A255&lt;=44,"35-44",A255&lt;=54,"45-54",TRUE,"OVER 55")</f>
        <v>35-44</v>
      </c>
    </row>
    <row r="256" spans="1:37"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f t="shared" si="3"/>
        <v>0</v>
      </c>
      <c r="AK256" t="str" cm="1">
        <f t="array" ref="AK256">_xlfn.IFS(A256&lt;25,"UNDER 25",A256&lt;=34,"25-34",A256&lt;=44,"35-44",A256&lt;=54,"45-54",TRUE,"OVER 55")</f>
        <v>25-34</v>
      </c>
    </row>
    <row r="257" spans="1:37"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f t="shared" si="3"/>
        <v>0</v>
      </c>
      <c r="AK257" t="str" cm="1">
        <f t="array" ref="AK257">_xlfn.IFS(A257&lt;25,"UNDER 25",A257&lt;=34,"25-34",A257&lt;=44,"35-44",A257&lt;=54,"45-54",TRUE,"OVER 55")</f>
        <v>25-34</v>
      </c>
    </row>
    <row r="258" spans="1:37"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f t="shared" si="3"/>
        <v>0</v>
      </c>
      <c r="AK258" t="str" cm="1">
        <f t="array" ref="AK258">_xlfn.IFS(A258&lt;25,"UNDER 25",A258&lt;=34,"25-34",A258&lt;=44,"35-44",A258&lt;=54,"45-54",TRUE,"OVER 55")</f>
        <v>35-44</v>
      </c>
    </row>
    <row r="259" spans="1:37"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f t="shared" ref="AJ259:AJ322" si="4">IF(B259="yes",1,0)</f>
        <v>0</v>
      </c>
      <c r="AK259" t="str" cm="1">
        <f t="array" ref="AK259">_xlfn.IFS(A259&lt;25,"UNDER 25",A259&lt;=34,"25-34",A259&lt;=44,"35-44",A259&lt;=54,"45-54",TRUE,"OVER 55")</f>
        <v>35-44</v>
      </c>
    </row>
    <row r="260" spans="1:37"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f t="shared" si="4"/>
        <v>0</v>
      </c>
      <c r="AK260" t="str" cm="1">
        <f t="array" ref="AK260">_xlfn.IFS(A260&lt;25,"UNDER 25",A260&lt;=34,"25-34",A260&lt;=44,"35-44",A260&lt;=54,"45-54",TRUE,"OVER 55")</f>
        <v>45-54</v>
      </c>
    </row>
    <row r="261" spans="1:37"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f t="shared" si="4"/>
        <v>1</v>
      </c>
      <c r="AK261" t="str" cm="1">
        <f t="array" ref="AK261">_xlfn.IFS(A261&lt;25,"UNDER 25",A261&lt;=34,"25-34",A261&lt;=44,"35-44",A261&lt;=54,"45-54",TRUE,"OVER 55")</f>
        <v>25-34</v>
      </c>
    </row>
    <row r="262" spans="1:37"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f t="shared" si="4"/>
        <v>0</v>
      </c>
      <c r="AK262" t="str" cm="1">
        <f t="array" ref="AK262">_xlfn.IFS(A262&lt;25,"UNDER 25",A262&lt;=34,"25-34",A262&lt;=44,"35-44",A262&lt;=54,"45-54",TRUE,"OVER 55")</f>
        <v>25-34</v>
      </c>
    </row>
    <row r="263" spans="1:37"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f t="shared" si="4"/>
        <v>0</v>
      </c>
      <c r="AK263" t="str" cm="1">
        <f t="array" ref="AK263">_xlfn.IFS(A263&lt;25,"UNDER 25",A263&lt;=34,"25-34",A263&lt;=44,"35-44",A263&lt;=54,"45-54",TRUE,"OVER 55")</f>
        <v>35-44</v>
      </c>
    </row>
    <row r="264" spans="1:37"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f t="shared" si="4"/>
        <v>0</v>
      </c>
      <c r="AK264" t="str" cm="1">
        <f t="array" ref="AK264">_xlfn.IFS(A264&lt;25,"UNDER 25",A264&lt;=34,"25-34",A264&lt;=44,"35-44",A264&lt;=54,"45-54",TRUE,"OVER 55")</f>
        <v>25-34</v>
      </c>
    </row>
    <row r="265" spans="1:37"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f t="shared" si="4"/>
        <v>0</v>
      </c>
      <c r="AK265" t="str" cm="1">
        <f t="array" ref="AK265">_xlfn.IFS(A265&lt;25,"UNDER 25",A265&lt;=34,"25-34",A265&lt;=44,"35-44",A265&lt;=54,"45-54",TRUE,"OVER 55")</f>
        <v>45-54</v>
      </c>
    </row>
    <row r="266" spans="1:37"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f t="shared" si="4"/>
        <v>1</v>
      </c>
      <c r="AK266" t="str" cm="1">
        <f t="array" ref="AK266">_xlfn.IFS(A266&lt;25,"UNDER 25",A266&lt;=34,"25-34",A266&lt;=44,"35-44",A266&lt;=54,"45-54",TRUE,"OVER 55")</f>
        <v>25-34</v>
      </c>
    </row>
    <row r="267" spans="1:37"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f t="shared" si="4"/>
        <v>0</v>
      </c>
      <c r="AK267" t="str" cm="1">
        <f t="array" ref="AK267">_xlfn.IFS(A267&lt;25,"UNDER 25",A267&lt;=34,"25-34",A267&lt;=44,"35-44",A267&lt;=54,"45-54",TRUE,"OVER 55")</f>
        <v>25-34</v>
      </c>
    </row>
    <row r="268" spans="1:37"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f t="shared" si="4"/>
        <v>0</v>
      </c>
      <c r="AK268" t="str" cm="1">
        <f t="array" ref="AK268">_xlfn.IFS(A268&lt;25,"UNDER 25",A268&lt;=34,"25-34",A268&lt;=44,"35-44",A268&lt;=54,"45-54",TRUE,"OVER 55")</f>
        <v>25-34</v>
      </c>
    </row>
    <row r="269" spans="1:37"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f t="shared" si="4"/>
        <v>0</v>
      </c>
      <c r="AK269" t="str" cm="1">
        <f t="array" ref="AK269">_xlfn.IFS(A269&lt;25,"UNDER 25",A269&lt;=34,"25-34",A269&lt;=44,"35-44",A269&lt;=54,"45-54",TRUE,"OVER 55")</f>
        <v>25-34</v>
      </c>
    </row>
    <row r="270" spans="1:37"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f t="shared" si="4"/>
        <v>0</v>
      </c>
      <c r="AK270" t="str" cm="1">
        <f t="array" ref="AK270">_xlfn.IFS(A270&lt;25,"UNDER 25",A270&lt;=34,"25-34",A270&lt;=44,"35-44",A270&lt;=54,"45-54",TRUE,"OVER 55")</f>
        <v>45-54</v>
      </c>
    </row>
    <row r="271" spans="1:37"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f t="shared" si="4"/>
        <v>0</v>
      </c>
      <c r="AK271" t="str" cm="1">
        <f t="array" ref="AK271">_xlfn.IFS(A271&lt;25,"UNDER 25",A271&lt;=34,"25-34",A271&lt;=44,"35-44",A271&lt;=54,"45-54",TRUE,"OVER 55")</f>
        <v>35-44</v>
      </c>
    </row>
    <row r="272" spans="1:37"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f t="shared" si="4"/>
        <v>0</v>
      </c>
      <c r="AK272" t="str" cm="1">
        <f t="array" ref="AK272">_xlfn.IFS(A272&lt;25,"UNDER 25",A272&lt;=34,"25-34",A272&lt;=44,"35-44",A272&lt;=54,"45-54",TRUE,"OVER 55")</f>
        <v>OVER 55</v>
      </c>
    </row>
    <row r="273" spans="1:37"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f t="shared" si="4"/>
        <v>1</v>
      </c>
      <c r="AK273" t="str" cm="1">
        <f t="array" ref="AK273">_xlfn.IFS(A273&lt;25,"UNDER 25",A273&lt;=34,"25-34",A273&lt;=44,"35-44",A273&lt;=54,"45-54",TRUE,"OVER 55")</f>
        <v>45-54</v>
      </c>
    </row>
    <row r="274" spans="1:37"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f t="shared" si="4"/>
        <v>0</v>
      </c>
      <c r="AK274" t="str" cm="1">
        <f t="array" ref="AK274">_xlfn.IFS(A274&lt;25,"UNDER 25",A274&lt;=34,"25-34",A274&lt;=44,"35-44",A274&lt;=54,"45-54",TRUE,"OVER 55")</f>
        <v>25-34</v>
      </c>
    </row>
    <row r="275" spans="1:37"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f t="shared" si="4"/>
        <v>0</v>
      </c>
      <c r="AK275" t="str" cm="1">
        <f t="array" ref="AK275">_xlfn.IFS(A275&lt;25,"UNDER 25",A275&lt;=34,"25-34",A275&lt;=44,"35-44",A275&lt;=54,"45-54",TRUE,"OVER 55")</f>
        <v>35-44</v>
      </c>
    </row>
    <row r="276" spans="1:37"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f t="shared" si="4"/>
        <v>0</v>
      </c>
      <c r="AK276" t="str" cm="1">
        <f t="array" ref="AK276">_xlfn.IFS(A276&lt;25,"UNDER 25",A276&lt;=34,"25-34",A276&lt;=44,"35-44",A276&lt;=54,"45-54",TRUE,"OVER 55")</f>
        <v>UNDER 25</v>
      </c>
    </row>
    <row r="277" spans="1:37"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f t="shared" si="4"/>
        <v>0</v>
      </c>
      <c r="AK277" t="str" cm="1">
        <f t="array" ref="AK277">_xlfn.IFS(A277&lt;25,"UNDER 25",A277&lt;=34,"25-34",A277&lt;=44,"35-44",A277&lt;=54,"45-54",TRUE,"OVER 55")</f>
        <v>35-44</v>
      </c>
    </row>
    <row r="278" spans="1:37"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f t="shared" si="4"/>
        <v>0</v>
      </c>
      <c r="AK278" t="str" cm="1">
        <f t="array" ref="AK278">_xlfn.IFS(A278&lt;25,"UNDER 25",A278&lt;=34,"25-34",A278&lt;=44,"35-44",A278&lt;=54,"45-54",TRUE,"OVER 55")</f>
        <v>35-44</v>
      </c>
    </row>
    <row r="279" spans="1:37"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f t="shared" si="4"/>
        <v>0</v>
      </c>
      <c r="AK279" t="str" cm="1">
        <f t="array" ref="AK279">_xlfn.IFS(A279&lt;25,"UNDER 25",A279&lt;=34,"25-34",A279&lt;=44,"35-44",A279&lt;=54,"45-54",TRUE,"OVER 55")</f>
        <v>35-44</v>
      </c>
    </row>
    <row r="280" spans="1:37"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f t="shared" si="4"/>
        <v>0</v>
      </c>
      <c r="AK280" t="str" cm="1">
        <f t="array" ref="AK280">_xlfn.IFS(A280&lt;25,"UNDER 25",A280&lt;=34,"25-34",A280&lt;=44,"35-44",A280&lt;=54,"45-54",TRUE,"OVER 55")</f>
        <v>25-34</v>
      </c>
    </row>
    <row r="281" spans="1:37"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f t="shared" si="4"/>
        <v>0</v>
      </c>
      <c r="AK281" t="str" cm="1">
        <f t="array" ref="AK281">_xlfn.IFS(A281&lt;25,"UNDER 25",A281&lt;=34,"25-34",A281&lt;=44,"35-44",A281&lt;=54,"45-54",TRUE,"OVER 55")</f>
        <v>45-54</v>
      </c>
    </row>
    <row r="282" spans="1:37"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f t="shared" si="4"/>
        <v>0</v>
      </c>
      <c r="AK282" t="str" cm="1">
        <f t="array" ref="AK282">_xlfn.IFS(A282&lt;25,"UNDER 25",A282&lt;=34,"25-34",A282&lt;=44,"35-44",A282&lt;=54,"45-54",TRUE,"OVER 55")</f>
        <v>45-54</v>
      </c>
    </row>
    <row r="283" spans="1:37"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f t="shared" si="4"/>
        <v>0</v>
      </c>
      <c r="AK283" t="str" cm="1">
        <f t="array" ref="AK283">_xlfn.IFS(A283&lt;25,"UNDER 25",A283&lt;=34,"25-34",A283&lt;=44,"35-44",A283&lt;=54,"45-54",TRUE,"OVER 55")</f>
        <v>35-44</v>
      </c>
    </row>
    <row r="284" spans="1:37"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f t="shared" si="4"/>
        <v>0</v>
      </c>
      <c r="AK284" t="str" cm="1">
        <f t="array" ref="AK284">_xlfn.IFS(A284&lt;25,"UNDER 25",A284&lt;=34,"25-34",A284&lt;=44,"35-44",A284&lt;=54,"45-54",TRUE,"OVER 55")</f>
        <v>25-34</v>
      </c>
    </row>
    <row r="285" spans="1:37"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f t="shared" si="4"/>
        <v>0</v>
      </c>
      <c r="AK285" t="str" cm="1">
        <f t="array" ref="AK285">_xlfn.IFS(A285&lt;25,"UNDER 25",A285&lt;=34,"25-34",A285&lt;=44,"35-44",A285&lt;=54,"45-54",TRUE,"OVER 55")</f>
        <v>OVER 55</v>
      </c>
    </row>
    <row r="286" spans="1:37"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f t="shared" si="4"/>
        <v>0</v>
      </c>
      <c r="AK286" t="str" cm="1">
        <f t="array" ref="AK286">_xlfn.IFS(A286&lt;25,"UNDER 25",A286&lt;=34,"25-34",A286&lt;=44,"35-44",A286&lt;=54,"45-54",TRUE,"OVER 55")</f>
        <v>25-34</v>
      </c>
    </row>
    <row r="287" spans="1:37"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f t="shared" si="4"/>
        <v>0</v>
      </c>
      <c r="AK287" t="str" cm="1">
        <f t="array" ref="AK287">_xlfn.IFS(A287&lt;25,"UNDER 25",A287&lt;=34,"25-34",A287&lt;=44,"35-44",A287&lt;=54,"45-54",TRUE,"OVER 55")</f>
        <v>35-44</v>
      </c>
    </row>
    <row r="288" spans="1:37"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f t="shared" si="4"/>
        <v>1</v>
      </c>
      <c r="AK288" t="str" cm="1">
        <f t="array" ref="AK288">_xlfn.IFS(A288&lt;25,"UNDER 25",A288&lt;=34,"25-34",A288&lt;=44,"35-44",A288&lt;=54,"45-54",TRUE,"OVER 55")</f>
        <v>35-44</v>
      </c>
    </row>
    <row r="289" spans="1:37"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f t="shared" si="4"/>
        <v>0</v>
      </c>
      <c r="AK289" t="str" cm="1">
        <f t="array" ref="AK289">_xlfn.IFS(A289&lt;25,"UNDER 25",A289&lt;=34,"25-34",A289&lt;=44,"35-44",A289&lt;=54,"45-54",TRUE,"OVER 55")</f>
        <v>35-44</v>
      </c>
    </row>
    <row r="290" spans="1:37"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f t="shared" si="4"/>
        <v>1</v>
      </c>
      <c r="AK290" t="str" cm="1">
        <f t="array" ref="AK290">_xlfn.IFS(A290&lt;25,"UNDER 25",A290&lt;=34,"25-34",A290&lt;=44,"35-44",A290&lt;=54,"45-54",TRUE,"OVER 55")</f>
        <v>25-34</v>
      </c>
    </row>
    <row r="291" spans="1:37"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f t="shared" si="4"/>
        <v>0</v>
      </c>
      <c r="AK291" t="str" cm="1">
        <f t="array" ref="AK291">_xlfn.IFS(A291&lt;25,"UNDER 25",A291&lt;=34,"25-34",A291&lt;=44,"35-44",A291&lt;=54,"45-54",TRUE,"OVER 55")</f>
        <v>25-34</v>
      </c>
    </row>
    <row r="292" spans="1:37"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f t="shared" si="4"/>
        <v>0</v>
      </c>
      <c r="AK292" t="str" cm="1">
        <f t="array" ref="AK292">_xlfn.IFS(A292&lt;25,"UNDER 25",A292&lt;=34,"25-34",A292&lt;=44,"35-44",A292&lt;=54,"45-54",TRUE,"OVER 55")</f>
        <v>45-54</v>
      </c>
    </row>
    <row r="293" spans="1:37"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f t="shared" si="4"/>
        <v>0</v>
      </c>
      <c r="AK293" t="str" cm="1">
        <f t="array" ref="AK293">_xlfn.IFS(A293&lt;25,"UNDER 25",A293&lt;=34,"25-34",A293&lt;=44,"35-44",A293&lt;=54,"45-54",TRUE,"OVER 55")</f>
        <v>35-44</v>
      </c>
    </row>
    <row r="294" spans="1:37"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f t="shared" si="4"/>
        <v>0</v>
      </c>
      <c r="AK294" t="str" cm="1">
        <f t="array" ref="AK294">_xlfn.IFS(A294&lt;25,"UNDER 25",A294&lt;=34,"25-34",A294&lt;=44,"35-44",A294&lt;=54,"45-54",TRUE,"OVER 55")</f>
        <v>25-34</v>
      </c>
    </row>
    <row r="295" spans="1:37"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f t="shared" si="4"/>
        <v>1</v>
      </c>
      <c r="AK295" t="str" cm="1">
        <f t="array" ref="AK295">_xlfn.IFS(A295&lt;25,"UNDER 25",A295&lt;=34,"25-34",A295&lt;=44,"35-44",A295&lt;=54,"45-54",TRUE,"OVER 55")</f>
        <v>25-34</v>
      </c>
    </row>
    <row r="296" spans="1:37"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f t="shared" si="4"/>
        <v>0</v>
      </c>
      <c r="AK296" t="str" cm="1">
        <f t="array" ref="AK296">_xlfn.IFS(A296&lt;25,"UNDER 25",A296&lt;=34,"25-34",A296&lt;=44,"35-44",A296&lt;=54,"45-54",TRUE,"OVER 55")</f>
        <v>35-44</v>
      </c>
    </row>
    <row r="297" spans="1:37"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f t="shared" si="4"/>
        <v>0</v>
      </c>
      <c r="AK297" t="str" cm="1">
        <f t="array" ref="AK297">_xlfn.IFS(A297&lt;25,"UNDER 25",A297&lt;=34,"25-34",A297&lt;=44,"35-44",A297&lt;=54,"45-54",TRUE,"OVER 55")</f>
        <v>35-44</v>
      </c>
    </row>
    <row r="298" spans="1:37"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f t="shared" si="4"/>
        <v>1</v>
      </c>
      <c r="AK298" t="str" cm="1">
        <f t="array" ref="AK298">_xlfn.IFS(A298&lt;25,"UNDER 25",A298&lt;=34,"25-34",A298&lt;=44,"35-44",A298&lt;=54,"45-54",TRUE,"OVER 55")</f>
        <v>UNDER 25</v>
      </c>
    </row>
    <row r="299" spans="1:37"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f t="shared" si="4"/>
        <v>0</v>
      </c>
      <c r="AK299" t="str" cm="1">
        <f t="array" ref="AK299">_xlfn.IFS(A299&lt;25,"UNDER 25",A299&lt;=34,"25-34",A299&lt;=44,"35-44",A299&lt;=54,"45-54",TRUE,"OVER 55")</f>
        <v>35-44</v>
      </c>
    </row>
    <row r="300" spans="1:37"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f t="shared" si="4"/>
        <v>0</v>
      </c>
      <c r="AK300" t="str" cm="1">
        <f t="array" ref="AK300">_xlfn.IFS(A300&lt;25,"UNDER 25",A300&lt;=34,"25-34",A300&lt;=44,"35-44",A300&lt;=54,"45-54",TRUE,"OVER 55")</f>
        <v>35-44</v>
      </c>
    </row>
    <row r="301" spans="1:37"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f t="shared" si="4"/>
        <v>0</v>
      </c>
      <c r="AK301" t="str" cm="1">
        <f t="array" ref="AK301">_xlfn.IFS(A301&lt;25,"UNDER 25",A301&lt;=34,"25-34",A301&lt;=44,"35-44",A301&lt;=54,"45-54",TRUE,"OVER 55")</f>
        <v>45-54</v>
      </c>
    </row>
    <row r="302" spans="1:37"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f t="shared" si="4"/>
        <v>0</v>
      </c>
      <c r="AK302" t="str" cm="1">
        <f t="array" ref="AK302">_xlfn.IFS(A302&lt;25,"UNDER 25",A302&lt;=34,"25-34",A302&lt;=44,"35-44",A302&lt;=54,"45-54",TRUE,"OVER 55")</f>
        <v>35-44</v>
      </c>
    </row>
    <row r="303" spans="1:37"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f t="shared" si="4"/>
        <v>0</v>
      </c>
      <c r="AK303" t="str" cm="1">
        <f t="array" ref="AK303">_xlfn.IFS(A303&lt;25,"UNDER 25",A303&lt;=34,"25-34",A303&lt;=44,"35-44",A303&lt;=54,"45-54",TRUE,"OVER 55")</f>
        <v>UNDER 25</v>
      </c>
    </row>
    <row r="304" spans="1:37"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f t="shared" si="4"/>
        <v>0</v>
      </c>
      <c r="AK304" t="str" cm="1">
        <f t="array" ref="AK304">_xlfn.IFS(A304&lt;25,"UNDER 25",A304&lt;=34,"25-34",A304&lt;=44,"35-44",A304&lt;=54,"45-54",TRUE,"OVER 55")</f>
        <v>25-34</v>
      </c>
    </row>
    <row r="305" spans="1:37"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f t="shared" si="4"/>
        <v>0</v>
      </c>
      <c r="AK305" t="str" cm="1">
        <f t="array" ref="AK305">_xlfn.IFS(A305&lt;25,"UNDER 25",A305&lt;=34,"25-34",A305&lt;=44,"35-44",A305&lt;=54,"45-54",TRUE,"OVER 55")</f>
        <v>25-34</v>
      </c>
    </row>
    <row r="306" spans="1:37"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f t="shared" si="4"/>
        <v>0</v>
      </c>
      <c r="AK306" t="str" cm="1">
        <f t="array" ref="AK306">_xlfn.IFS(A306&lt;25,"UNDER 25",A306&lt;=34,"25-34",A306&lt;=44,"35-44",A306&lt;=54,"45-54",TRUE,"OVER 55")</f>
        <v>35-44</v>
      </c>
    </row>
    <row r="307" spans="1:37"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f t="shared" si="4"/>
        <v>0</v>
      </c>
      <c r="AK307" t="str" cm="1">
        <f t="array" ref="AK307">_xlfn.IFS(A307&lt;25,"UNDER 25",A307&lt;=34,"25-34",A307&lt;=44,"35-44",A307&lt;=54,"45-54",TRUE,"OVER 55")</f>
        <v>35-44</v>
      </c>
    </row>
    <row r="308" spans="1:37"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f t="shared" si="4"/>
        <v>0</v>
      </c>
      <c r="AK308" t="str" cm="1">
        <f t="array" ref="AK308">_xlfn.IFS(A308&lt;25,"UNDER 25",A308&lt;=34,"25-34",A308&lt;=44,"35-44",A308&lt;=54,"45-54",TRUE,"OVER 55")</f>
        <v>25-34</v>
      </c>
    </row>
    <row r="309" spans="1:37"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f t="shared" si="4"/>
        <v>0</v>
      </c>
      <c r="AK309" t="str" cm="1">
        <f t="array" ref="AK309">_xlfn.IFS(A309&lt;25,"UNDER 25",A309&lt;=34,"25-34",A309&lt;=44,"35-44",A309&lt;=54,"45-54",TRUE,"OVER 55")</f>
        <v>35-44</v>
      </c>
    </row>
    <row r="310" spans="1:37"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f t="shared" si="4"/>
        <v>0</v>
      </c>
      <c r="AK310" t="str" cm="1">
        <f t="array" ref="AK310">_xlfn.IFS(A310&lt;25,"UNDER 25",A310&lt;=34,"25-34",A310&lt;=44,"35-44",A310&lt;=54,"45-54",TRUE,"OVER 55")</f>
        <v>OVER 55</v>
      </c>
    </row>
    <row r="311" spans="1:37"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f t="shared" si="4"/>
        <v>0</v>
      </c>
      <c r="AK311" t="str" cm="1">
        <f t="array" ref="AK311">_xlfn.IFS(A311&lt;25,"UNDER 25",A311&lt;=34,"25-34",A311&lt;=44,"35-44",A311&lt;=54,"45-54",TRUE,"OVER 55")</f>
        <v>25-34</v>
      </c>
    </row>
    <row r="312" spans="1:37"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f t="shared" si="4"/>
        <v>0</v>
      </c>
      <c r="AK312" t="str" cm="1">
        <f t="array" ref="AK312">_xlfn.IFS(A312&lt;25,"UNDER 25",A312&lt;=34,"25-34",A312&lt;=44,"35-44",A312&lt;=54,"45-54",TRUE,"OVER 55")</f>
        <v>25-34</v>
      </c>
    </row>
    <row r="313" spans="1:37"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f t="shared" si="4"/>
        <v>0</v>
      </c>
      <c r="AK313" t="str" cm="1">
        <f t="array" ref="AK313">_xlfn.IFS(A313&lt;25,"UNDER 25",A313&lt;=34,"25-34",A313&lt;=44,"35-44",A313&lt;=54,"45-54",TRUE,"OVER 55")</f>
        <v>45-54</v>
      </c>
    </row>
    <row r="314" spans="1:37"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f t="shared" si="4"/>
        <v>0</v>
      </c>
      <c r="AK314" t="str" cm="1">
        <f t="array" ref="AK314">_xlfn.IFS(A314&lt;25,"UNDER 25",A314&lt;=34,"25-34",A314&lt;=44,"35-44",A314&lt;=54,"45-54",TRUE,"OVER 55")</f>
        <v>25-34</v>
      </c>
    </row>
    <row r="315" spans="1:37"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f t="shared" si="4"/>
        <v>0</v>
      </c>
      <c r="AK315" t="str" cm="1">
        <f t="array" ref="AK315">_xlfn.IFS(A315&lt;25,"UNDER 25",A315&lt;=34,"25-34",A315&lt;=44,"35-44",A315&lt;=54,"45-54",TRUE,"OVER 55")</f>
        <v>25-34</v>
      </c>
    </row>
    <row r="316" spans="1:37"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f t="shared" si="4"/>
        <v>0</v>
      </c>
      <c r="AK316" t="str" cm="1">
        <f t="array" ref="AK316">_xlfn.IFS(A316&lt;25,"UNDER 25",A316&lt;=34,"25-34",A316&lt;=44,"35-44",A316&lt;=54,"45-54",TRUE,"OVER 55")</f>
        <v>35-44</v>
      </c>
    </row>
    <row r="317" spans="1:37"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f t="shared" si="4"/>
        <v>0</v>
      </c>
      <c r="AK317" t="str" cm="1">
        <f t="array" ref="AK317">_xlfn.IFS(A317&lt;25,"UNDER 25",A317&lt;=34,"25-34",A317&lt;=44,"35-44",A317&lt;=54,"45-54",TRUE,"OVER 55")</f>
        <v>35-44</v>
      </c>
    </row>
    <row r="318" spans="1:37"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f t="shared" si="4"/>
        <v>0</v>
      </c>
      <c r="AK318" t="str" cm="1">
        <f t="array" ref="AK318">_xlfn.IFS(A318&lt;25,"UNDER 25",A318&lt;=34,"25-34",A318&lt;=44,"35-44",A318&lt;=54,"45-54",TRUE,"OVER 55")</f>
        <v>45-54</v>
      </c>
    </row>
    <row r="319" spans="1:37"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f t="shared" si="4"/>
        <v>1</v>
      </c>
      <c r="AK319" t="str" cm="1">
        <f t="array" ref="AK319">_xlfn.IFS(A319&lt;25,"UNDER 25",A319&lt;=34,"25-34",A319&lt;=44,"35-44",A319&lt;=54,"45-54",TRUE,"OVER 55")</f>
        <v>45-54</v>
      </c>
    </row>
    <row r="320" spans="1:37"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f t="shared" si="4"/>
        <v>0</v>
      </c>
      <c r="AK320" t="str" cm="1">
        <f t="array" ref="AK320">_xlfn.IFS(A320&lt;25,"UNDER 25",A320&lt;=34,"25-34",A320&lt;=44,"35-44",A320&lt;=54,"45-54",TRUE,"OVER 55")</f>
        <v>25-34</v>
      </c>
    </row>
    <row r="321" spans="1:37"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f t="shared" si="4"/>
        <v>0</v>
      </c>
      <c r="AK321" t="str" cm="1">
        <f t="array" ref="AK321">_xlfn.IFS(A321&lt;25,"UNDER 25",A321&lt;=34,"25-34",A321&lt;=44,"35-44",A321&lt;=54,"45-54",TRUE,"OVER 55")</f>
        <v>25-34</v>
      </c>
    </row>
    <row r="322" spans="1:37"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f t="shared" si="4"/>
        <v>0</v>
      </c>
      <c r="AK322" t="str" cm="1">
        <f t="array" ref="AK322">_xlfn.IFS(A322&lt;25,"UNDER 25",A322&lt;=34,"25-34",A322&lt;=44,"35-44",A322&lt;=54,"45-54",TRUE,"OVER 55")</f>
        <v>25-34</v>
      </c>
    </row>
    <row r="323" spans="1:37"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f t="shared" ref="AJ323:AJ386" si="5">IF(B323="yes",1,0)</f>
        <v>0</v>
      </c>
      <c r="AK323" t="str" cm="1">
        <f t="array" ref="AK323">_xlfn.IFS(A323&lt;25,"UNDER 25",A323&lt;=34,"25-34",A323&lt;=44,"35-44",A323&lt;=54,"45-54",TRUE,"OVER 55")</f>
        <v>25-34</v>
      </c>
    </row>
    <row r="324" spans="1:37"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f t="shared" si="5"/>
        <v>0</v>
      </c>
      <c r="AK324" t="str" cm="1">
        <f t="array" ref="AK324">_xlfn.IFS(A324&lt;25,"UNDER 25",A324&lt;=34,"25-34",A324&lt;=44,"35-44",A324&lt;=54,"45-54",TRUE,"OVER 55")</f>
        <v>25-34</v>
      </c>
    </row>
    <row r="325" spans="1:37"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f t="shared" si="5"/>
        <v>1</v>
      </c>
      <c r="AK325" t="str" cm="1">
        <f t="array" ref="AK325">_xlfn.IFS(A325&lt;25,"UNDER 25",A325&lt;=34,"25-34",A325&lt;=44,"35-44",A325&lt;=54,"45-54",TRUE,"OVER 55")</f>
        <v>25-34</v>
      </c>
    </row>
    <row r="326" spans="1:37"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f t="shared" si="5"/>
        <v>0</v>
      </c>
      <c r="AK326" t="str" cm="1">
        <f t="array" ref="AK326">_xlfn.IFS(A326&lt;25,"UNDER 25",A326&lt;=34,"25-34",A326&lt;=44,"35-44",A326&lt;=54,"45-54",TRUE,"OVER 55")</f>
        <v>25-34</v>
      </c>
    </row>
    <row r="327" spans="1:37"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f t="shared" si="5"/>
        <v>0</v>
      </c>
      <c r="AK327" t="str" cm="1">
        <f t="array" ref="AK327">_xlfn.IFS(A327&lt;25,"UNDER 25",A327&lt;=34,"25-34",A327&lt;=44,"35-44",A327&lt;=54,"45-54",TRUE,"OVER 55")</f>
        <v>25-34</v>
      </c>
    </row>
    <row r="328" spans="1:37"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f t="shared" si="5"/>
        <v>0</v>
      </c>
      <c r="AK328" t="str" cm="1">
        <f t="array" ref="AK328">_xlfn.IFS(A328&lt;25,"UNDER 25",A328&lt;=34,"25-34",A328&lt;=44,"35-44",A328&lt;=54,"45-54",TRUE,"OVER 55")</f>
        <v>35-44</v>
      </c>
    </row>
    <row r="329" spans="1:37"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f t="shared" si="5"/>
        <v>1</v>
      </c>
      <c r="AK329" t="str" cm="1">
        <f t="array" ref="AK329">_xlfn.IFS(A329&lt;25,"UNDER 25",A329&lt;=34,"25-34",A329&lt;=44,"35-44",A329&lt;=54,"45-54",TRUE,"OVER 55")</f>
        <v>35-44</v>
      </c>
    </row>
    <row r="330" spans="1:37"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f t="shared" si="5"/>
        <v>0</v>
      </c>
      <c r="AK330" t="str" cm="1">
        <f t="array" ref="AK330">_xlfn.IFS(A330&lt;25,"UNDER 25",A330&lt;=34,"25-34",A330&lt;=44,"35-44",A330&lt;=54,"45-54",TRUE,"OVER 55")</f>
        <v>25-34</v>
      </c>
    </row>
    <row r="331" spans="1:37"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f t="shared" si="5"/>
        <v>0</v>
      </c>
      <c r="AK331" t="str" cm="1">
        <f t="array" ref="AK331">_xlfn.IFS(A331&lt;25,"UNDER 25",A331&lt;=34,"25-34",A331&lt;=44,"35-44",A331&lt;=54,"45-54",TRUE,"OVER 55")</f>
        <v>45-54</v>
      </c>
    </row>
    <row r="332" spans="1:37"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f t="shared" si="5"/>
        <v>0</v>
      </c>
      <c r="AK332" t="str" cm="1">
        <f t="array" ref="AK332">_xlfn.IFS(A332&lt;25,"UNDER 25",A332&lt;=34,"25-34",A332&lt;=44,"35-44",A332&lt;=54,"45-54",TRUE,"OVER 55")</f>
        <v>35-44</v>
      </c>
    </row>
    <row r="333" spans="1:37"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f t="shared" si="5"/>
        <v>0</v>
      </c>
      <c r="AK333" t="str" cm="1">
        <f t="array" ref="AK333">_xlfn.IFS(A333&lt;25,"UNDER 25",A333&lt;=34,"25-34",A333&lt;=44,"35-44",A333&lt;=54,"45-54",TRUE,"OVER 55")</f>
        <v>25-34</v>
      </c>
    </row>
    <row r="334" spans="1:37"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f t="shared" si="5"/>
        <v>0</v>
      </c>
      <c r="AK334" t="str" cm="1">
        <f t="array" ref="AK334">_xlfn.IFS(A334&lt;25,"UNDER 25",A334&lt;=34,"25-34",A334&lt;=44,"35-44",A334&lt;=54,"45-54",TRUE,"OVER 55")</f>
        <v>45-54</v>
      </c>
    </row>
    <row r="335" spans="1:37"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f t="shared" si="5"/>
        <v>0</v>
      </c>
      <c r="AK335" t="str" cm="1">
        <f t="array" ref="AK335">_xlfn.IFS(A335&lt;25,"UNDER 25",A335&lt;=34,"25-34",A335&lt;=44,"35-44",A335&lt;=54,"45-54",TRUE,"OVER 55")</f>
        <v>35-44</v>
      </c>
    </row>
    <row r="336" spans="1:37"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f t="shared" si="5"/>
        <v>0</v>
      </c>
      <c r="AK336" t="str" cm="1">
        <f t="array" ref="AK336">_xlfn.IFS(A336&lt;25,"UNDER 25",A336&lt;=34,"25-34",A336&lt;=44,"35-44",A336&lt;=54,"45-54",TRUE,"OVER 55")</f>
        <v>45-54</v>
      </c>
    </row>
    <row r="337" spans="1:37"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f t="shared" si="5"/>
        <v>0</v>
      </c>
      <c r="AK337" t="str" cm="1">
        <f t="array" ref="AK337">_xlfn.IFS(A337&lt;25,"UNDER 25",A337&lt;=34,"25-34",A337&lt;=44,"35-44",A337&lt;=54,"45-54",TRUE,"OVER 55")</f>
        <v>35-44</v>
      </c>
    </row>
    <row r="338" spans="1:37"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f t="shared" si="5"/>
        <v>1</v>
      </c>
      <c r="AK338" t="str" cm="1">
        <f t="array" ref="AK338">_xlfn.IFS(A338&lt;25,"UNDER 25",A338&lt;=34,"25-34",A338&lt;=44,"35-44",A338&lt;=54,"45-54",TRUE,"OVER 55")</f>
        <v>25-34</v>
      </c>
    </row>
    <row r="339" spans="1:37"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f t="shared" si="5"/>
        <v>0</v>
      </c>
      <c r="AK339" t="str" cm="1">
        <f t="array" ref="AK339">_xlfn.IFS(A339&lt;25,"UNDER 25",A339&lt;=34,"25-34",A339&lt;=44,"35-44",A339&lt;=54,"45-54",TRUE,"OVER 55")</f>
        <v>25-34</v>
      </c>
    </row>
    <row r="340" spans="1:37"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f t="shared" si="5"/>
        <v>0</v>
      </c>
      <c r="AK340" t="str" cm="1">
        <f t="array" ref="AK340">_xlfn.IFS(A340&lt;25,"UNDER 25",A340&lt;=34,"25-34",A340&lt;=44,"35-44",A340&lt;=54,"45-54",TRUE,"OVER 55")</f>
        <v>25-34</v>
      </c>
    </row>
    <row r="341" spans="1:37"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f t="shared" si="5"/>
        <v>0</v>
      </c>
      <c r="AK341" t="str" cm="1">
        <f t="array" ref="AK341">_xlfn.IFS(A341&lt;25,"UNDER 25",A341&lt;=34,"25-34",A341&lt;=44,"35-44",A341&lt;=54,"45-54",TRUE,"OVER 55")</f>
        <v>25-34</v>
      </c>
    </row>
    <row r="342" spans="1:37"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f t="shared" si="5"/>
        <v>0</v>
      </c>
      <c r="AK342" t="str" cm="1">
        <f t="array" ref="AK342">_xlfn.IFS(A342&lt;25,"UNDER 25",A342&lt;=34,"25-34",A342&lt;=44,"35-44",A342&lt;=54,"45-54",TRUE,"OVER 55")</f>
        <v>35-44</v>
      </c>
    </row>
    <row r="343" spans="1:37"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f t="shared" si="5"/>
        <v>0</v>
      </c>
      <c r="AK343" t="str" cm="1">
        <f t="array" ref="AK343">_xlfn.IFS(A343&lt;25,"UNDER 25",A343&lt;=34,"25-34",A343&lt;=44,"35-44",A343&lt;=54,"45-54",TRUE,"OVER 55")</f>
        <v>35-44</v>
      </c>
    </row>
    <row r="344" spans="1:37"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f t="shared" si="5"/>
        <v>0</v>
      </c>
      <c r="AK344" t="str" cm="1">
        <f t="array" ref="AK344">_xlfn.IFS(A344&lt;25,"UNDER 25",A344&lt;=34,"25-34",A344&lt;=44,"35-44",A344&lt;=54,"45-54",TRUE,"OVER 55")</f>
        <v>25-34</v>
      </c>
    </row>
    <row r="345" spans="1:37"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f t="shared" si="5"/>
        <v>0</v>
      </c>
      <c r="AK345" t="str" cm="1">
        <f t="array" ref="AK345">_xlfn.IFS(A345&lt;25,"UNDER 25",A345&lt;=34,"25-34",A345&lt;=44,"35-44",A345&lt;=54,"45-54",TRUE,"OVER 55")</f>
        <v>25-34</v>
      </c>
    </row>
    <row r="346" spans="1:37"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f t="shared" si="5"/>
        <v>0</v>
      </c>
      <c r="AK346" t="str" cm="1">
        <f t="array" ref="AK346">_xlfn.IFS(A346&lt;25,"UNDER 25",A346&lt;=34,"25-34",A346&lt;=44,"35-44",A346&lt;=54,"45-54",TRUE,"OVER 55")</f>
        <v>35-44</v>
      </c>
    </row>
    <row r="347" spans="1:37"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f t="shared" si="5"/>
        <v>0</v>
      </c>
      <c r="AK347" t="str" cm="1">
        <f t="array" ref="AK347">_xlfn.IFS(A347&lt;25,"UNDER 25",A347&lt;=34,"25-34",A347&lt;=44,"35-44",A347&lt;=54,"45-54",TRUE,"OVER 55")</f>
        <v>UNDER 25</v>
      </c>
    </row>
    <row r="348" spans="1:37"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f t="shared" si="5"/>
        <v>0</v>
      </c>
      <c r="AK348" t="str" cm="1">
        <f t="array" ref="AK348">_xlfn.IFS(A348&lt;25,"UNDER 25",A348&lt;=34,"25-34",A348&lt;=44,"35-44",A348&lt;=54,"45-54",TRUE,"OVER 55")</f>
        <v>35-44</v>
      </c>
    </row>
    <row r="349" spans="1:37"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f t="shared" si="5"/>
        <v>0</v>
      </c>
      <c r="AK349" t="str" cm="1">
        <f t="array" ref="AK349">_xlfn.IFS(A349&lt;25,"UNDER 25",A349&lt;=34,"25-34",A349&lt;=44,"35-44",A349&lt;=54,"45-54",TRUE,"OVER 55")</f>
        <v>45-54</v>
      </c>
    </row>
    <row r="350" spans="1:37"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f t="shared" si="5"/>
        <v>0</v>
      </c>
      <c r="AK350" t="str" cm="1">
        <f t="array" ref="AK350">_xlfn.IFS(A350&lt;25,"UNDER 25",A350&lt;=34,"25-34",A350&lt;=44,"35-44",A350&lt;=54,"45-54",TRUE,"OVER 55")</f>
        <v>35-44</v>
      </c>
    </row>
    <row r="351" spans="1:37"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f t="shared" si="5"/>
        <v>0</v>
      </c>
      <c r="AK351" t="str" cm="1">
        <f t="array" ref="AK351">_xlfn.IFS(A351&lt;25,"UNDER 25",A351&lt;=34,"25-34",A351&lt;=44,"35-44",A351&lt;=54,"45-54",TRUE,"OVER 55")</f>
        <v>25-34</v>
      </c>
    </row>
    <row r="352" spans="1:37"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f t="shared" si="5"/>
        <v>0</v>
      </c>
      <c r="AK352" t="str" cm="1">
        <f t="array" ref="AK352">_xlfn.IFS(A352&lt;25,"UNDER 25",A352&lt;=34,"25-34",A352&lt;=44,"35-44",A352&lt;=54,"45-54",TRUE,"OVER 55")</f>
        <v>35-44</v>
      </c>
    </row>
    <row r="353" spans="1:37"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f t="shared" si="5"/>
        <v>0</v>
      </c>
      <c r="AK353" t="str" cm="1">
        <f t="array" ref="AK353">_xlfn.IFS(A353&lt;25,"UNDER 25",A353&lt;=34,"25-34",A353&lt;=44,"35-44",A353&lt;=54,"45-54",TRUE,"OVER 55")</f>
        <v>25-34</v>
      </c>
    </row>
    <row r="354" spans="1:37"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f t="shared" si="5"/>
        <v>0</v>
      </c>
      <c r="AK354" t="str" cm="1">
        <f t="array" ref="AK354">_xlfn.IFS(A354&lt;25,"UNDER 25",A354&lt;=34,"25-34",A354&lt;=44,"35-44",A354&lt;=54,"45-54",TRUE,"OVER 55")</f>
        <v>45-54</v>
      </c>
    </row>
    <row r="355" spans="1:37"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f t="shared" si="5"/>
        <v>0</v>
      </c>
      <c r="AK355" t="str" cm="1">
        <f t="array" ref="AK355">_xlfn.IFS(A355&lt;25,"UNDER 25",A355&lt;=34,"25-34",A355&lt;=44,"35-44",A355&lt;=54,"45-54",TRUE,"OVER 55")</f>
        <v>35-44</v>
      </c>
    </row>
    <row r="356" spans="1:37"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f t="shared" si="5"/>
        <v>0</v>
      </c>
      <c r="AK356" t="str" cm="1">
        <f t="array" ref="AK356">_xlfn.IFS(A356&lt;25,"UNDER 25",A356&lt;=34,"25-34",A356&lt;=44,"35-44",A356&lt;=54,"45-54",TRUE,"OVER 55")</f>
        <v>25-34</v>
      </c>
    </row>
    <row r="357" spans="1:37"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f t="shared" si="5"/>
        <v>0</v>
      </c>
      <c r="AK357" t="str" cm="1">
        <f t="array" ref="AK357">_xlfn.IFS(A357&lt;25,"UNDER 25",A357&lt;=34,"25-34",A357&lt;=44,"35-44",A357&lt;=54,"45-54",TRUE,"OVER 55")</f>
        <v>25-34</v>
      </c>
    </row>
    <row r="358" spans="1:37"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f t="shared" si="5"/>
        <v>0</v>
      </c>
      <c r="AK358" t="str" cm="1">
        <f t="array" ref="AK358">_xlfn.IFS(A358&lt;25,"UNDER 25",A358&lt;=34,"25-34",A358&lt;=44,"35-44",A358&lt;=54,"45-54",TRUE,"OVER 55")</f>
        <v>35-44</v>
      </c>
    </row>
    <row r="359" spans="1:37"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f t="shared" si="5"/>
        <v>1</v>
      </c>
      <c r="AK359" t="str" cm="1">
        <f t="array" ref="AK359">_xlfn.IFS(A359&lt;25,"UNDER 25",A359&lt;=34,"25-34",A359&lt;=44,"35-44",A359&lt;=54,"45-54",TRUE,"OVER 55")</f>
        <v>UNDER 25</v>
      </c>
    </row>
    <row r="360" spans="1:37"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f t="shared" si="5"/>
        <v>0</v>
      </c>
      <c r="AK360" t="str" cm="1">
        <f t="array" ref="AK360">_xlfn.IFS(A360&lt;25,"UNDER 25",A360&lt;=34,"25-34",A360&lt;=44,"35-44",A360&lt;=54,"45-54",TRUE,"OVER 55")</f>
        <v>35-44</v>
      </c>
    </row>
    <row r="361" spans="1:37"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f t="shared" si="5"/>
        <v>0</v>
      </c>
      <c r="AK361" t="str" cm="1">
        <f t="array" ref="AK361">_xlfn.IFS(A361&lt;25,"UNDER 25",A361&lt;=34,"25-34",A361&lt;=44,"35-44",A361&lt;=54,"45-54",TRUE,"OVER 55")</f>
        <v>35-44</v>
      </c>
    </row>
    <row r="362" spans="1:37"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f t="shared" si="5"/>
        <v>0</v>
      </c>
      <c r="AK362" t="str" cm="1">
        <f t="array" ref="AK362">_xlfn.IFS(A362&lt;25,"UNDER 25",A362&lt;=34,"25-34",A362&lt;=44,"35-44",A362&lt;=54,"45-54",TRUE,"OVER 55")</f>
        <v>OVER 55</v>
      </c>
    </row>
    <row r="363" spans="1:37"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f t="shared" si="5"/>
        <v>0</v>
      </c>
      <c r="AK363" t="str" cm="1">
        <f t="array" ref="AK363">_xlfn.IFS(A363&lt;25,"UNDER 25",A363&lt;=34,"25-34",A363&lt;=44,"35-44",A363&lt;=54,"45-54",TRUE,"OVER 55")</f>
        <v>35-44</v>
      </c>
    </row>
    <row r="364" spans="1:37"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f t="shared" si="5"/>
        <v>0</v>
      </c>
      <c r="AK364" t="str" cm="1">
        <f t="array" ref="AK364">_xlfn.IFS(A364&lt;25,"UNDER 25",A364&lt;=34,"25-34",A364&lt;=44,"35-44",A364&lt;=54,"45-54",TRUE,"OVER 55")</f>
        <v>UNDER 25</v>
      </c>
    </row>
    <row r="365" spans="1:37"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f t="shared" si="5"/>
        <v>1</v>
      </c>
      <c r="AK365" t="str" cm="1">
        <f t="array" ref="AK365">_xlfn.IFS(A365&lt;25,"UNDER 25",A365&lt;=34,"25-34",A365&lt;=44,"35-44",A365&lt;=54,"45-54",TRUE,"OVER 55")</f>
        <v>25-34</v>
      </c>
    </row>
    <row r="366" spans="1:37"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f t="shared" si="5"/>
        <v>0</v>
      </c>
      <c r="AK366" t="str" cm="1">
        <f t="array" ref="AK366">_xlfn.IFS(A366&lt;25,"UNDER 25",A366&lt;=34,"25-34",A366&lt;=44,"35-44",A366&lt;=54,"45-54",TRUE,"OVER 55")</f>
        <v>35-44</v>
      </c>
    </row>
    <row r="367" spans="1:37"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f t="shared" si="5"/>
        <v>0</v>
      </c>
      <c r="AK367" t="str" cm="1">
        <f t="array" ref="AK367">_xlfn.IFS(A367&lt;25,"UNDER 25",A367&lt;=34,"25-34",A367&lt;=44,"35-44",A367&lt;=54,"45-54",TRUE,"OVER 55")</f>
        <v>45-54</v>
      </c>
    </row>
    <row r="368" spans="1:37"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f t="shared" si="5"/>
        <v>1</v>
      </c>
      <c r="AK368" t="str" cm="1">
        <f t="array" ref="AK368">_xlfn.IFS(A368&lt;25,"UNDER 25",A368&lt;=34,"25-34",A368&lt;=44,"35-44",A368&lt;=54,"45-54",TRUE,"OVER 55")</f>
        <v>35-44</v>
      </c>
    </row>
    <row r="369" spans="1:37"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f t="shared" si="5"/>
        <v>0</v>
      </c>
      <c r="AK369" t="str" cm="1">
        <f t="array" ref="AK369">_xlfn.IFS(A369&lt;25,"UNDER 25",A369&lt;=34,"25-34",A369&lt;=44,"35-44",A369&lt;=54,"45-54",TRUE,"OVER 55")</f>
        <v>45-54</v>
      </c>
    </row>
    <row r="370" spans="1:37"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f t="shared" si="5"/>
        <v>1</v>
      </c>
      <c r="AK370" t="str" cm="1">
        <f t="array" ref="AK370">_xlfn.IFS(A370&lt;25,"UNDER 25",A370&lt;=34,"25-34",A370&lt;=44,"35-44",A370&lt;=54,"45-54",TRUE,"OVER 55")</f>
        <v>35-44</v>
      </c>
    </row>
    <row r="371" spans="1:37"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f t="shared" si="5"/>
        <v>0</v>
      </c>
      <c r="AK371" t="str" cm="1">
        <f t="array" ref="AK371">_xlfn.IFS(A371&lt;25,"UNDER 25",A371&lt;=34,"25-34",A371&lt;=44,"35-44",A371&lt;=54,"45-54",TRUE,"OVER 55")</f>
        <v>25-34</v>
      </c>
    </row>
    <row r="372" spans="1:37"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f t="shared" si="5"/>
        <v>1</v>
      </c>
      <c r="AK372" t="str" cm="1">
        <f t="array" ref="AK372">_xlfn.IFS(A372&lt;25,"UNDER 25",A372&lt;=34,"25-34",A372&lt;=44,"35-44",A372&lt;=54,"45-54",TRUE,"OVER 55")</f>
        <v>UNDER 25</v>
      </c>
    </row>
    <row r="373" spans="1:37"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f t="shared" si="5"/>
        <v>0</v>
      </c>
      <c r="AK373" t="str" cm="1">
        <f t="array" ref="AK373">_xlfn.IFS(A373&lt;25,"UNDER 25",A373&lt;=34,"25-34",A373&lt;=44,"35-44",A373&lt;=54,"45-54",TRUE,"OVER 55")</f>
        <v>25-34</v>
      </c>
    </row>
    <row r="374" spans="1:37"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f t="shared" si="5"/>
        <v>0</v>
      </c>
      <c r="AK374" t="str" cm="1">
        <f t="array" ref="AK374">_xlfn.IFS(A374&lt;25,"UNDER 25",A374&lt;=34,"25-34",A374&lt;=44,"35-44",A374&lt;=54,"45-54",TRUE,"OVER 55")</f>
        <v>35-44</v>
      </c>
    </row>
    <row r="375" spans="1:37"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f t="shared" si="5"/>
        <v>0</v>
      </c>
      <c r="AK375" t="str" cm="1">
        <f t="array" ref="AK375">_xlfn.IFS(A375&lt;25,"UNDER 25",A375&lt;=34,"25-34",A375&lt;=44,"35-44",A375&lt;=54,"45-54",TRUE,"OVER 55")</f>
        <v>25-34</v>
      </c>
    </row>
    <row r="376" spans="1:37"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f t="shared" si="5"/>
        <v>0</v>
      </c>
      <c r="AK376" t="str" cm="1">
        <f t="array" ref="AK376">_xlfn.IFS(A376&lt;25,"UNDER 25",A376&lt;=34,"25-34",A376&lt;=44,"35-44",A376&lt;=54,"45-54",TRUE,"OVER 55")</f>
        <v>25-34</v>
      </c>
    </row>
    <row r="377" spans="1:37"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f t="shared" si="5"/>
        <v>0</v>
      </c>
      <c r="AK377" t="str" cm="1">
        <f t="array" ref="AK377">_xlfn.IFS(A377&lt;25,"UNDER 25",A377&lt;=34,"25-34",A377&lt;=44,"35-44",A377&lt;=54,"45-54",TRUE,"OVER 55")</f>
        <v>45-54</v>
      </c>
    </row>
    <row r="378" spans="1:37"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f t="shared" si="5"/>
        <v>0</v>
      </c>
      <c r="AK378" t="str" cm="1">
        <f t="array" ref="AK378">_xlfn.IFS(A378&lt;25,"UNDER 25",A378&lt;=34,"25-34",A378&lt;=44,"35-44",A378&lt;=54,"45-54",TRUE,"OVER 55")</f>
        <v>45-54</v>
      </c>
    </row>
    <row r="379" spans="1:37"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f t="shared" si="5"/>
        <v>0</v>
      </c>
      <c r="AK379" t="str" cm="1">
        <f t="array" ref="AK379">_xlfn.IFS(A379&lt;25,"UNDER 25",A379&lt;=34,"25-34",A379&lt;=44,"35-44",A379&lt;=54,"45-54",TRUE,"OVER 55")</f>
        <v>35-44</v>
      </c>
    </row>
    <row r="380" spans="1:37"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f t="shared" si="5"/>
        <v>1</v>
      </c>
      <c r="AK380" t="str" cm="1">
        <f t="array" ref="AK380">_xlfn.IFS(A380&lt;25,"UNDER 25",A380&lt;=34,"25-34",A380&lt;=44,"35-44",A380&lt;=54,"45-54",TRUE,"OVER 55")</f>
        <v>25-34</v>
      </c>
    </row>
    <row r="381" spans="1:37"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f t="shared" si="5"/>
        <v>0</v>
      </c>
      <c r="AK381" t="str" cm="1">
        <f t="array" ref="AK381">_xlfn.IFS(A381&lt;25,"UNDER 25",A381&lt;=34,"25-34",A381&lt;=44,"35-44",A381&lt;=54,"45-54",TRUE,"OVER 55")</f>
        <v>OVER 55</v>
      </c>
    </row>
    <row r="382" spans="1:37"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f t="shared" si="5"/>
        <v>0</v>
      </c>
      <c r="AK382" t="str" cm="1">
        <f t="array" ref="AK382">_xlfn.IFS(A382&lt;25,"UNDER 25",A382&lt;=34,"25-34",A382&lt;=44,"35-44",A382&lt;=54,"45-54",TRUE,"OVER 55")</f>
        <v>UNDER 25</v>
      </c>
    </row>
    <row r="383" spans="1:37"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f t="shared" si="5"/>
        <v>0</v>
      </c>
      <c r="AK383" t="str" cm="1">
        <f t="array" ref="AK383">_xlfn.IFS(A383&lt;25,"UNDER 25",A383&lt;=34,"25-34",A383&lt;=44,"35-44",A383&lt;=54,"45-54",TRUE,"OVER 55")</f>
        <v>25-34</v>
      </c>
    </row>
    <row r="384" spans="1:37"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f t="shared" si="5"/>
        <v>1</v>
      </c>
      <c r="AK384" t="str" cm="1">
        <f t="array" ref="AK384">_xlfn.IFS(A384&lt;25,"UNDER 25",A384&lt;=34,"25-34",A384&lt;=44,"35-44",A384&lt;=54,"45-54",TRUE,"OVER 55")</f>
        <v>25-34</v>
      </c>
    </row>
    <row r="385" spans="1:37"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f t="shared" si="5"/>
        <v>0</v>
      </c>
      <c r="AK385" t="str" cm="1">
        <f t="array" ref="AK385">_xlfn.IFS(A385&lt;25,"UNDER 25",A385&lt;=34,"25-34",A385&lt;=44,"35-44",A385&lt;=54,"45-54",TRUE,"OVER 55")</f>
        <v>UNDER 25</v>
      </c>
    </row>
    <row r="386" spans="1:37"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f t="shared" si="5"/>
        <v>0</v>
      </c>
      <c r="AK386" t="str" cm="1">
        <f t="array" ref="AK386">_xlfn.IFS(A386&lt;25,"UNDER 25",A386&lt;=34,"25-34",A386&lt;=44,"35-44",A386&lt;=54,"45-54",TRUE,"OVER 55")</f>
        <v>35-44</v>
      </c>
    </row>
    <row r="387" spans="1:37"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f t="shared" ref="AJ387:AJ450" si="6">IF(B387="yes",1,0)</f>
        <v>1</v>
      </c>
      <c r="AK387" t="str" cm="1">
        <f t="array" ref="AK387">_xlfn.IFS(A387&lt;25,"UNDER 25",A387&lt;=34,"25-34",A387&lt;=44,"35-44",A387&lt;=54,"45-54",TRUE,"OVER 55")</f>
        <v>25-34</v>
      </c>
    </row>
    <row r="388" spans="1:37"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f t="shared" si="6"/>
        <v>0</v>
      </c>
      <c r="AK388" t="str" cm="1">
        <f t="array" ref="AK388">_xlfn.IFS(A388&lt;25,"UNDER 25",A388&lt;=34,"25-34",A388&lt;=44,"35-44",A388&lt;=54,"45-54",TRUE,"OVER 55")</f>
        <v>35-44</v>
      </c>
    </row>
    <row r="389" spans="1:37"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f t="shared" si="6"/>
        <v>0</v>
      </c>
      <c r="AK389" t="str" cm="1">
        <f t="array" ref="AK389">_xlfn.IFS(A389&lt;25,"UNDER 25",A389&lt;=34,"25-34",A389&lt;=44,"35-44",A389&lt;=54,"45-54",TRUE,"OVER 55")</f>
        <v>35-44</v>
      </c>
    </row>
    <row r="390" spans="1:37"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f t="shared" si="6"/>
        <v>0</v>
      </c>
      <c r="AK390" t="str" cm="1">
        <f t="array" ref="AK390">_xlfn.IFS(A390&lt;25,"UNDER 25",A390&lt;=34,"25-34",A390&lt;=44,"35-44",A390&lt;=54,"45-54",TRUE,"OVER 55")</f>
        <v>35-44</v>
      </c>
    </row>
    <row r="391" spans="1:37"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f t="shared" si="6"/>
        <v>0</v>
      </c>
      <c r="AK391" t="str" cm="1">
        <f t="array" ref="AK391">_xlfn.IFS(A391&lt;25,"UNDER 25",A391&lt;=34,"25-34",A391&lt;=44,"35-44",A391&lt;=54,"45-54",TRUE,"OVER 55")</f>
        <v>35-44</v>
      </c>
    </row>
    <row r="392" spans="1:37"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f t="shared" si="6"/>
        <v>0</v>
      </c>
      <c r="AK392" t="str" cm="1">
        <f t="array" ref="AK392">_xlfn.IFS(A392&lt;25,"UNDER 25",A392&lt;=34,"25-34",A392&lt;=44,"35-44",A392&lt;=54,"45-54",TRUE,"OVER 55")</f>
        <v>35-44</v>
      </c>
    </row>
    <row r="393" spans="1:37"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f t="shared" si="6"/>
        <v>0</v>
      </c>
      <c r="AK393" t="str" cm="1">
        <f t="array" ref="AK393">_xlfn.IFS(A393&lt;25,"UNDER 25",A393&lt;=34,"25-34",A393&lt;=44,"35-44",A393&lt;=54,"45-54",TRUE,"OVER 55")</f>
        <v>35-44</v>
      </c>
    </row>
    <row r="394" spans="1:37"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f t="shared" si="6"/>
        <v>0</v>
      </c>
      <c r="AK394" t="str" cm="1">
        <f t="array" ref="AK394">_xlfn.IFS(A394&lt;25,"UNDER 25",A394&lt;=34,"25-34",A394&lt;=44,"35-44",A394&lt;=54,"45-54",TRUE,"OVER 55")</f>
        <v>45-54</v>
      </c>
    </row>
    <row r="395" spans="1:37"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f t="shared" si="6"/>
        <v>0</v>
      </c>
      <c r="AK395" t="str" cm="1">
        <f t="array" ref="AK395">_xlfn.IFS(A395&lt;25,"UNDER 25",A395&lt;=34,"25-34",A395&lt;=44,"35-44",A395&lt;=54,"45-54",TRUE,"OVER 55")</f>
        <v>25-34</v>
      </c>
    </row>
    <row r="396" spans="1:37"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f t="shared" si="6"/>
        <v>0</v>
      </c>
      <c r="AK396" t="str" cm="1">
        <f t="array" ref="AK396">_xlfn.IFS(A396&lt;25,"UNDER 25",A396&lt;=34,"25-34",A396&lt;=44,"35-44",A396&lt;=54,"45-54",TRUE,"OVER 55")</f>
        <v>25-34</v>
      </c>
    </row>
    <row r="397" spans="1:37"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f t="shared" si="6"/>
        <v>0</v>
      </c>
      <c r="AK397" t="str" cm="1">
        <f t="array" ref="AK397">_xlfn.IFS(A397&lt;25,"UNDER 25",A397&lt;=34,"25-34",A397&lt;=44,"35-44",A397&lt;=54,"45-54",TRUE,"OVER 55")</f>
        <v>35-44</v>
      </c>
    </row>
    <row r="398" spans="1:37"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f t="shared" si="6"/>
        <v>0</v>
      </c>
      <c r="AK398" t="str" cm="1">
        <f t="array" ref="AK398">_xlfn.IFS(A398&lt;25,"UNDER 25",A398&lt;=34,"25-34",A398&lt;=44,"35-44",A398&lt;=54,"45-54",TRUE,"OVER 55")</f>
        <v>35-44</v>
      </c>
    </row>
    <row r="399" spans="1:37"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f t="shared" si="6"/>
        <v>0</v>
      </c>
      <c r="AK399" t="str" cm="1">
        <f t="array" ref="AK399">_xlfn.IFS(A399&lt;25,"UNDER 25",A399&lt;=34,"25-34",A399&lt;=44,"35-44",A399&lt;=54,"45-54",TRUE,"OVER 55")</f>
        <v>25-34</v>
      </c>
    </row>
    <row r="400" spans="1:37"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f t="shared" si="6"/>
        <v>0</v>
      </c>
      <c r="AK400" t="str" cm="1">
        <f t="array" ref="AK400">_xlfn.IFS(A400&lt;25,"UNDER 25",A400&lt;=34,"25-34",A400&lt;=44,"35-44",A400&lt;=54,"45-54",TRUE,"OVER 55")</f>
        <v>35-44</v>
      </c>
    </row>
    <row r="401" spans="1:37"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f t="shared" si="6"/>
        <v>0</v>
      </c>
      <c r="AK401" t="str" cm="1">
        <f t="array" ref="AK401">_xlfn.IFS(A401&lt;25,"UNDER 25",A401&lt;=34,"25-34",A401&lt;=44,"35-44",A401&lt;=54,"45-54",TRUE,"OVER 55")</f>
        <v>25-34</v>
      </c>
    </row>
    <row r="402" spans="1:37"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f t="shared" si="6"/>
        <v>0</v>
      </c>
      <c r="AK402" t="str" cm="1">
        <f t="array" ref="AK402">_xlfn.IFS(A402&lt;25,"UNDER 25",A402&lt;=34,"25-34",A402&lt;=44,"35-44",A402&lt;=54,"45-54",TRUE,"OVER 55")</f>
        <v>35-44</v>
      </c>
    </row>
    <row r="403" spans="1:37"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f t="shared" si="6"/>
        <v>0</v>
      </c>
      <c r="AK403" t="str" cm="1">
        <f t="array" ref="AK403">_xlfn.IFS(A403&lt;25,"UNDER 25",A403&lt;=34,"25-34",A403&lt;=44,"35-44",A403&lt;=54,"45-54",TRUE,"OVER 55")</f>
        <v>OVER 55</v>
      </c>
    </row>
    <row r="404" spans="1:37"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f t="shared" si="6"/>
        <v>0</v>
      </c>
      <c r="AK404" t="str" cm="1">
        <f t="array" ref="AK404">_xlfn.IFS(A404&lt;25,"UNDER 25",A404&lt;=34,"25-34",A404&lt;=44,"35-44",A404&lt;=54,"45-54",TRUE,"OVER 55")</f>
        <v>25-34</v>
      </c>
    </row>
    <row r="405" spans="1:37"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f t="shared" si="6"/>
        <v>0</v>
      </c>
      <c r="AK405" t="str" cm="1">
        <f t="array" ref="AK405">_xlfn.IFS(A405&lt;25,"UNDER 25",A405&lt;=34,"25-34",A405&lt;=44,"35-44",A405&lt;=54,"45-54",TRUE,"OVER 55")</f>
        <v>35-44</v>
      </c>
    </row>
    <row r="406" spans="1:37"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f t="shared" si="6"/>
        <v>0</v>
      </c>
      <c r="AK406" t="str" cm="1">
        <f t="array" ref="AK406">_xlfn.IFS(A406&lt;25,"UNDER 25",A406&lt;=34,"25-34",A406&lt;=44,"35-44",A406&lt;=54,"45-54",TRUE,"OVER 55")</f>
        <v>25-34</v>
      </c>
    </row>
    <row r="407" spans="1:37"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f t="shared" si="6"/>
        <v>1</v>
      </c>
      <c r="AK407" t="str" cm="1">
        <f t="array" ref="AK407">_xlfn.IFS(A407&lt;25,"UNDER 25",A407&lt;=34,"25-34",A407&lt;=44,"35-44",A407&lt;=54,"45-54",TRUE,"OVER 55")</f>
        <v>25-34</v>
      </c>
    </row>
    <row r="408" spans="1:37"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f t="shared" si="6"/>
        <v>0</v>
      </c>
      <c r="AK408" t="str" cm="1">
        <f t="array" ref="AK408">_xlfn.IFS(A408&lt;25,"UNDER 25",A408&lt;=34,"25-34",A408&lt;=44,"35-44",A408&lt;=54,"45-54",TRUE,"OVER 55")</f>
        <v>45-54</v>
      </c>
    </row>
    <row r="409" spans="1:37"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f t="shared" si="6"/>
        <v>0</v>
      </c>
      <c r="AK409" t="str" cm="1">
        <f t="array" ref="AK409">_xlfn.IFS(A409&lt;25,"UNDER 25",A409&lt;=34,"25-34",A409&lt;=44,"35-44",A409&lt;=54,"45-54",TRUE,"OVER 55")</f>
        <v>45-54</v>
      </c>
    </row>
    <row r="410" spans="1:37"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f t="shared" si="6"/>
        <v>0</v>
      </c>
      <c r="AK410" t="str" cm="1">
        <f t="array" ref="AK410">_xlfn.IFS(A410&lt;25,"UNDER 25",A410&lt;=34,"25-34",A410&lt;=44,"35-44",A410&lt;=54,"45-54",TRUE,"OVER 55")</f>
        <v>45-54</v>
      </c>
    </row>
    <row r="411" spans="1:37"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f t="shared" si="6"/>
        <v>0</v>
      </c>
      <c r="AK411" t="str" cm="1">
        <f t="array" ref="AK411">_xlfn.IFS(A411&lt;25,"UNDER 25",A411&lt;=34,"25-34",A411&lt;=44,"35-44",A411&lt;=54,"45-54",TRUE,"OVER 55")</f>
        <v>35-44</v>
      </c>
    </row>
    <row r="412" spans="1:37"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f t="shared" si="6"/>
        <v>0</v>
      </c>
      <c r="AK412" t="str" cm="1">
        <f t="array" ref="AK412">_xlfn.IFS(A412&lt;25,"UNDER 25",A412&lt;=34,"25-34",A412&lt;=44,"35-44",A412&lt;=54,"45-54",TRUE,"OVER 55")</f>
        <v>25-34</v>
      </c>
    </row>
    <row r="413" spans="1:37"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f t="shared" si="6"/>
        <v>0</v>
      </c>
      <c r="AK413" t="str" cm="1">
        <f t="array" ref="AK413">_xlfn.IFS(A413&lt;25,"UNDER 25",A413&lt;=34,"25-34",A413&lt;=44,"35-44",A413&lt;=54,"45-54",TRUE,"OVER 55")</f>
        <v>OVER 55</v>
      </c>
    </row>
    <row r="414" spans="1:37"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f t="shared" si="6"/>
        <v>0</v>
      </c>
      <c r="AK414" t="str" cm="1">
        <f t="array" ref="AK414">_xlfn.IFS(A414&lt;25,"UNDER 25",A414&lt;=34,"25-34",A414&lt;=44,"35-44",A414&lt;=54,"45-54",TRUE,"OVER 55")</f>
        <v>45-54</v>
      </c>
    </row>
    <row r="415" spans="1:37"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f t="shared" si="6"/>
        <v>0</v>
      </c>
      <c r="AK415" t="str" cm="1">
        <f t="array" ref="AK415">_xlfn.IFS(A415&lt;25,"UNDER 25",A415&lt;=34,"25-34",A415&lt;=44,"35-44",A415&lt;=54,"45-54",TRUE,"OVER 55")</f>
        <v>35-44</v>
      </c>
    </row>
    <row r="416" spans="1:37"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f t="shared" si="6"/>
        <v>1</v>
      </c>
      <c r="AK416" t="str" cm="1">
        <f t="array" ref="AK416">_xlfn.IFS(A416&lt;25,"UNDER 25",A416&lt;=34,"25-34",A416&lt;=44,"35-44",A416&lt;=54,"45-54",TRUE,"OVER 55")</f>
        <v>UNDER 25</v>
      </c>
    </row>
    <row r="417" spans="1:37"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f t="shared" si="6"/>
        <v>1</v>
      </c>
      <c r="AK417" t="str" cm="1">
        <f t="array" ref="AK417">_xlfn.IFS(A417&lt;25,"UNDER 25",A417&lt;=34,"25-34",A417&lt;=44,"35-44",A417&lt;=54,"45-54",TRUE,"OVER 55")</f>
        <v>25-34</v>
      </c>
    </row>
    <row r="418" spans="1:37"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f t="shared" si="6"/>
        <v>0</v>
      </c>
      <c r="AK418" t="str" cm="1">
        <f t="array" ref="AK418">_xlfn.IFS(A418&lt;25,"UNDER 25",A418&lt;=34,"25-34",A418&lt;=44,"35-44",A418&lt;=54,"45-54",TRUE,"OVER 55")</f>
        <v>35-44</v>
      </c>
    </row>
    <row r="419" spans="1:37"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f t="shared" si="6"/>
        <v>0</v>
      </c>
      <c r="AK419" t="str" cm="1">
        <f t="array" ref="AK419">_xlfn.IFS(A419&lt;25,"UNDER 25",A419&lt;=34,"25-34",A419&lt;=44,"35-44",A419&lt;=54,"45-54",TRUE,"OVER 55")</f>
        <v>35-44</v>
      </c>
    </row>
    <row r="420" spans="1:37"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f t="shared" si="6"/>
        <v>0</v>
      </c>
      <c r="AK420" t="str" cm="1">
        <f t="array" ref="AK420">_xlfn.IFS(A420&lt;25,"UNDER 25",A420&lt;=34,"25-34",A420&lt;=44,"35-44",A420&lt;=54,"45-54",TRUE,"OVER 55")</f>
        <v>25-34</v>
      </c>
    </row>
    <row r="421" spans="1:37"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f t="shared" si="6"/>
        <v>0</v>
      </c>
      <c r="AK421" t="str" cm="1">
        <f t="array" ref="AK421">_xlfn.IFS(A421&lt;25,"UNDER 25",A421&lt;=34,"25-34",A421&lt;=44,"35-44",A421&lt;=54,"45-54",TRUE,"OVER 55")</f>
        <v>25-34</v>
      </c>
    </row>
    <row r="422" spans="1:37"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f t="shared" si="6"/>
        <v>0</v>
      </c>
      <c r="AK422" t="str" cm="1">
        <f t="array" ref="AK422">_xlfn.IFS(A422&lt;25,"UNDER 25",A422&lt;=34,"25-34",A422&lt;=44,"35-44",A422&lt;=54,"45-54",TRUE,"OVER 55")</f>
        <v>25-34</v>
      </c>
    </row>
    <row r="423" spans="1:37"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f t="shared" si="6"/>
        <v>1</v>
      </c>
      <c r="AK423" t="str" cm="1">
        <f t="array" ref="AK423">_xlfn.IFS(A423&lt;25,"UNDER 25",A423&lt;=34,"25-34",A423&lt;=44,"35-44",A423&lt;=54,"45-54",TRUE,"OVER 55")</f>
        <v>25-34</v>
      </c>
    </row>
    <row r="424" spans="1:37"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f t="shared" si="6"/>
        <v>1</v>
      </c>
      <c r="AK424" t="str" cm="1">
        <f t="array" ref="AK424">_xlfn.IFS(A424&lt;25,"UNDER 25",A424&lt;=34,"25-34",A424&lt;=44,"35-44",A424&lt;=54,"45-54",TRUE,"OVER 55")</f>
        <v>UNDER 25</v>
      </c>
    </row>
    <row r="425" spans="1:37"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f t="shared" si="6"/>
        <v>0</v>
      </c>
      <c r="AK425" t="str" cm="1">
        <f t="array" ref="AK425">_xlfn.IFS(A425&lt;25,"UNDER 25",A425&lt;=34,"25-34",A425&lt;=44,"35-44",A425&lt;=54,"45-54",TRUE,"OVER 55")</f>
        <v>25-34</v>
      </c>
    </row>
    <row r="426" spans="1:37"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f t="shared" si="6"/>
        <v>0</v>
      </c>
      <c r="AK426" t="str" cm="1">
        <f t="array" ref="AK426">_xlfn.IFS(A426&lt;25,"UNDER 25",A426&lt;=34,"25-34",A426&lt;=44,"35-44",A426&lt;=54,"45-54",TRUE,"OVER 55")</f>
        <v>OVER 55</v>
      </c>
    </row>
    <row r="427" spans="1:37"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f t="shared" si="6"/>
        <v>0</v>
      </c>
      <c r="AK427" t="str" cm="1">
        <f t="array" ref="AK427">_xlfn.IFS(A427&lt;25,"UNDER 25",A427&lt;=34,"25-34",A427&lt;=44,"35-44",A427&lt;=54,"45-54",TRUE,"OVER 55")</f>
        <v>45-54</v>
      </c>
    </row>
    <row r="428" spans="1:37"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f t="shared" si="6"/>
        <v>0</v>
      </c>
      <c r="AK428" t="str" cm="1">
        <f t="array" ref="AK428">_xlfn.IFS(A428&lt;25,"UNDER 25",A428&lt;=34,"25-34",A428&lt;=44,"35-44",A428&lt;=54,"45-54",TRUE,"OVER 55")</f>
        <v>25-34</v>
      </c>
    </row>
    <row r="429" spans="1:37"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f t="shared" si="6"/>
        <v>0</v>
      </c>
      <c r="AK429" t="str" cm="1">
        <f t="array" ref="AK429">_xlfn.IFS(A429&lt;25,"UNDER 25",A429&lt;=34,"25-34",A429&lt;=44,"35-44",A429&lt;=54,"45-54",TRUE,"OVER 55")</f>
        <v>OVER 55</v>
      </c>
    </row>
    <row r="430" spans="1:37"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f t="shared" si="6"/>
        <v>0</v>
      </c>
      <c r="AK430" t="str" cm="1">
        <f t="array" ref="AK430">_xlfn.IFS(A430&lt;25,"UNDER 25",A430&lt;=34,"25-34",A430&lt;=44,"35-44",A430&lt;=54,"45-54",TRUE,"OVER 55")</f>
        <v>45-54</v>
      </c>
    </row>
    <row r="431" spans="1:37"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f t="shared" si="6"/>
        <v>0</v>
      </c>
      <c r="AK431" t="str" cm="1">
        <f t="array" ref="AK431">_xlfn.IFS(A431&lt;25,"UNDER 25",A431&lt;=34,"25-34",A431&lt;=44,"35-44",A431&lt;=54,"45-54",TRUE,"OVER 55")</f>
        <v>45-54</v>
      </c>
    </row>
    <row r="432" spans="1:37"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f t="shared" si="6"/>
        <v>0</v>
      </c>
      <c r="AK432" t="str" cm="1">
        <f t="array" ref="AK432">_xlfn.IFS(A432&lt;25,"UNDER 25",A432&lt;=34,"25-34",A432&lt;=44,"35-44",A432&lt;=54,"45-54",TRUE,"OVER 55")</f>
        <v>35-44</v>
      </c>
    </row>
    <row r="433" spans="1:37"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f t="shared" si="6"/>
        <v>0</v>
      </c>
      <c r="AK433" t="str" cm="1">
        <f t="array" ref="AK433">_xlfn.IFS(A433&lt;25,"UNDER 25",A433&lt;=34,"25-34",A433&lt;=44,"35-44",A433&lt;=54,"45-54",TRUE,"OVER 55")</f>
        <v>45-54</v>
      </c>
    </row>
    <row r="434" spans="1:37"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f t="shared" si="6"/>
        <v>0</v>
      </c>
      <c r="AK434" t="str" cm="1">
        <f t="array" ref="AK434">_xlfn.IFS(A434&lt;25,"UNDER 25",A434&lt;=34,"25-34",A434&lt;=44,"35-44",A434&lt;=54,"45-54",TRUE,"OVER 55")</f>
        <v>25-34</v>
      </c>
    </row>
    <row r="435" spans="1:37"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f t="shared" si="6"/>
        <v>0</v>
      </c>
      <c r="AK435" t="str" cm="1">
        <f t="array" ref="AK435">_xlfn.IFS(A435&lt;25,"UNDER 25",A435&lt;=34,"25-34",A435&lt;=44,"35-44",A435&lt;=54,"45-54",TRUE,"OVER 55")</f>
        <v>45-54</v>
      </c>
    </row>
    <row r="436" spans="1:37"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f t="shared" si="6"/>
        <v>0</v>
      </c>
      <c r="AK436" t="str" cm="1">
        <f t="array" ref="AK436">_xlfn.IFS(A436&lt;25,"UNDER 25",A436&lt;=34,"25-34",A436&lt;=44,"35-44",A436&lt;=54,"45-54",TRUE,"OVER 55")</f>
        <v>25-34</v>
      </c>
    </row>
    <row r="437" spans="1:37"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f t="shared" si="6"/>
        <v>1</v>
      </c>
      <c r="AK437" t="str" cm="1">
        <f t="array" ref="AK437">_xlfn.IFS(A437&lt;25,"UNDER 25",A437&lt;=34,"25-34",A437&lt;=44,"35-44",A437&lt;=54,"45-54",TRUE,"OVER 55")</f>
        <v>25-34</v>
      </c>
    </row>
    <row r="438" spans="1:37"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f t="shared" si="6"/>
        <v>1</v>
      </c>
      <c r="AK438" t="str" cm="1">
        <f t="array" ref="AK438">_xlfn.IFS(A438&lt;25,"UNDER 25",A438&lt;=34,"25-34",A438&lt;=44,"35-44",A438&lt;=54,"45-54",TRUE,"OVER 55")</f>
        <v>25-34</v>
      </c>
    </row>
    <row r="439" spans="1:37"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f t="shared" si="6"/>
        <v>0</v>
      </c>
      <c r="AK439" t="str" cm="1">
        <f t="array" ref="AK439">_xlfn.IFS(A439&lt;25,"UNDER 25",A439&lt;=34,"25-34",A439&lt;=44,"35-44",A439&lt;=54,"45-54",TRUE,"OVER 55")</f>
        <v>25-34</v>
      </c>
    </row>
    <row r="440" spans="1:37"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f t="shared" si="6"/>
        <v>0</v>
      </c>
      <c r="AK440" t="str" cm="1">
        <f t="array" ref="AK440">_xlfn.IFS(A440&lt;25,"UNDER 25",A440&lt;=34,"25-34",A440&lt;=44,"35-44",A440&lt;=54,"45-54",TRUE,"OVER 55")</f>
        <v>35-44</v>
      </c>
    </row>
    <row r="441" spans="1:37"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f t="shared" si="6"/>
        <v>1</v>
      </c>
      <c r="AK441" t="str" cm="1">
        <f t="array" ref="AK441">_xlfn.IFS(A441&lt;25,"UNDER 25",A441&lt;=34,"25-34",A441&lt;=44,"35-44",A441&lt;=54,"45-54",TRUE,"OVER 55")</f>
        <v>25-34</v>
      </c>
    </row>
    <row r="442" spans="1:37"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f t="shared" si="6"/>
        <v>1</v>
      </c>
      <c r="AK442" t="str" cm="1">
        <f t="array" ref="AK442">_xlfn.IFS(A442&lt;25,"UNDER 25",A442&lt;=34,"25-34",A442&lt;=44,"35-44",A442&lt;=54,"45-54",TRUE,"OVER 55")</f>
        <v>25-34</v>
      </c>
    </row>
    <row r="443" spans="1:37"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f t="shared" si="6"/>
        <v>0</v>
      </c>
      <c r="AK443" t="str" cm="1">
        <f t="array" ref="AK443">_xlfn.IFS(A443&lt;25,"UNDER 25",A443&lt;=34,"25-34",A443&lt;=44,"35-44",A443&lt;=54,"45-54",TRUE,"OVER 55")</f>
        <v>35-44</v>
      </c>
    </row>
    <row r="444" spans="1:37"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f t="shared" si="6"/>
        <v>0</v>
      </c>
      <c r="AK444" t="str" cm="1">
        <f t="array" ref="AK444">_xlfn.IFS(A444&lt;25,"UNDER 25",A444&lt;=34,"25-34",A444&lt;=44,"35-44",A444&lt;=54,"45-54",TRUE,"OVER 55")</f>
        <v>35-44</v>
      </c>
    </row>
    <row r="445" spans="1:37"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f t="shared" si="6"/>
        <v>1</v>
      </c>
      <c r="AK445" t="str" cm="1">
        <f t="array" ref="AK445">_xlfn.IFS(A445&lt;25,"UNDER 25",A445&lt;=34,"25-34",A445&lt;=44,"35-44",A445&lt;=54,"45-54",TRUE,"OVER 55")</f>
        <v>UNDER 25</v>
      </c>
    </row>
    <row r="446" spans="1:37"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f t="shared" si="6"/>
        <v>0</v>
      </c>
      <c r="AK446" t="str" cm="1">
        <f t="array" ref="AK446">_xlfn.IFS(A446&lt;25,"UNDER 25",A446&lt;=34,"25-34",A446&lt;=44,"35-44",A446&lt;=54,"45-54",TRUE,"OVER 55")</f>
        <v>45-54</v>
      </c>
    </row>
    <row r="447" spans="1:37"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f t="shared" si="6"/>
        <v>0</v>
      </c>
      <c r="AK447" t="str" cm="1">
        <f t="array" ref="AK447">_xlfn.IFS(A447&lt;25,"UNDER 25",A447&lt;=34,"25-34",A447&lt;=44,"35-44",A447&lt;=54,"45-54",TRUE,"OVER 55")</f>
        <v>OVER 55</v>
      </c>
    </row>
    <row r="448" spans="1:37"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f t="shared" si="6"/>
        <v>0</v>
      </c>
      <c r="AK448" t="str" cm="1">
        <f t="array" ref="AK448">_xlfn.IFS(A448&lt;25,"UNDER 25",A448&lt;=34,"25-34",A448&lt;=44,"35-44",A448&lt;=54,"45-54",TRUE,"OVER 55")</f>
        <v>35-44</v>
      </c>
    </row>
    <row r="449" spans="1:37"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f t="shared" si="6"/>
        <v>0</v>
      </c>
      <c r="AK449" t="str" cm="1">
        <f t="array" ref="AK449">_xlfn.IFS(A449&lt;25,"UNDER 25",A449&lt;=34,"25-34",A449&lt;=44,"35-44",A449&lt;=54,"45-54",TRUE,"OVER 55")</f>
        <v>35-44</v>
      </c>
    </row>
    <row r="450" spans="1:37"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f t="shared" si="6"/>
        <v>0</v>
      </c>
      <c r="AK450" t="str" cm="1">
        <f t="array" ref="AK450">_xlfn.IFS(A450&lt;25,"UNDER 25",A450&lt;=34,"25-34",A450&lt;=44,"35-44",A450&lt;=54,"45-54",TRUE,"OVER 55")</f>
        <v>35-44</v>
      </c>
    </row>
    <row r="451" spans="1:37"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f t="shared" ref="AJ451:AJ514" si="7">IF(B451="yes",1,0)</f>
        <v>0</v>
      </c>
      <c r="AK451" t="str" cm="1">
        <f t="array" ref="AK451">_xlfn.IFS(A451&lt;25,"UNDER 25",A451&lt;=34,"25-34",A451&lt;=44,"35-44",A451&lt;=54,"45-54",TRUE,"OVER 55")</f>
        <v>35-44</v>
      </c>
    </row>
    <row r="452" spans="1:37"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f t="shared" si="7"/>
        <v>0</v>
      </c>
      <c r="AK452" t="str" cm="1">
        <f t="array" ref="AK452">_xlfn.IFS(A452&lt;25,"UNDER 25",A452&lt;=34,"25-34",A452&lt;=44,"35-44",A452&lt;=54,"45-54",TRUE,"OVER 55")</f>
        <v>25-34</v>
      </c>
    </row>
    <row r="453" spans="1:37"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f t="shared" si="7"/>
        <v>0</v>
      </c>
      <c r="AK453" t="str" cm="1">
        <f t="array" ref="AK453">_xlfn.IFS(A453&lt;25,"UNDER 25",A453&lt;=34,"25-34",A453&lt;=44,"35-44",A453&lt;=54,"45-54",TRUE,"OVER 55")</f>
        <v>35-44</v>
      </c>
    </row>
    <row r="454" spans="1:37"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f t="shared" si="7"/>
        <v>0</v>
      </c>
      <c r="AK454" t="str" cm="1">
        <f t="array" ref="AK454">_xlfn.IFS(A454&lt;25,"UNDER 25",A454&lt;=34,"25-34",A454&lt;=44,"35-44",A454&lt;=54,"45-54",TRUE,"OVER 55")</f>
        <v>45-54</v>
      </c>
    </row>
    <row r="455" spans="1:37"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f t="shared" si="7"/>
        <v>1</v>
      </c>
      <c r="AK455" t="str" cm="1">
        <f t="array" ref="AK455">_xlfn.IFS(A455&lt;25,"UNDER 25",A455&lt;=34,"25-34",A455&lt;=44,"35-44",A455&lt;=54,"45-54",TRUE,"OVER 55")</f>
        <v>25-34</v>
      </c>
    </row>
    <row r="456" spans="1:37"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f t="shared" si="7"/>
        <v>0</v>
      </c>
      <c r="AK456" t="str" cm="1">
        <f t="array" ref="AK456">_xlfn.IFS(A456&lt;25,"UNDER 25",A456&lt;=34,"25-34",A456&lt;=44,"35-44",A456&lt;=54,"45-54",TRUE,"OVER 55")</f>
        <v>25-34</v>
      </c>
    </row>
    <row r="457" spans="1:37"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f t="shared" si="7"/>
        <v>0</v>
      </c>
      <c r="AK457" t="str" cm="1">
        <f t="array" ref="AK457">_xlfn.IFS(A457&lt;25,"UNDER 25",A457&lt;=34,"25-34",A457&lt;=44,"35-44",A457&lt;=54,"45-54",TRUE,"OVER 55")</f>
        <v>25-34</v>
      </c>
    </row>
    <row r="458" spans="1:37"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f t="shared" si="7"/>
        <v>0</v>
      </c>
      <c r="AK458" t="str" cm="1">
        <f t="array" ref="AK458">_xlfn.IFS(A458&lt;25,"UNDER 25",A458&lt;=34,"25-34",A458&lt;=44,"35-44",A458&lt;=54,"45-54",TRUE,"OVER 55")</f>
        <v>25-34</v>
      </c>
    </row>
    <row r="459" spans="1:37"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f t="shared" si="7"/>
        <v>1</v>
      </c>
      <c r="AK459" t="str" cm="1">
        <f t="array" ref="AK459">_xlfn.IFS(A459&lt;25,"UNDER 25",A459&lt;=34,"25-34",A459&lt;=44,"35-44",A459&lt;=54,"45-54",TRUE,"OVER 55")</f>
        <v>UNDER 25</v>
      </c>
    </row>
    <row r="460" spans="1:37"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f t="shared" si="7"/>
        <v>0</v>
      </c>
      <c r="AK460" t="str" cm="1">
        <f t="array" ref="AK460">_xlfn.IFS(A460&lt;25,"UNDER 25",A460&lt;=34,"25-34",A460&lt;=44,"35-44",A460&lt;=54,"45-54",TRUE,"OVER 55")</f>
        <v>35-44</v>
      </c>
    </row>
    <row r="461" spans="1:37"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f t="shared" si="7"/>
        <v>0</v>
      </c>
      <c r="AK461" t="str" cm="1">
        <f t="array" ref="AK461">_xlfn.IFS(A461&lt;25,"UNDER 25",A461&lt;=34,"25-34",A461&lt;=44,"35-44",A461&lt;=54,"45-54",TRUE,"OVER 55")</f>
        <v>35-44</v>
      </c>
    </row>
    <row r="462" spans="1:37"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f t="shared" si="7"/>
        <v>0</v>
      </c>
      <c r="AK462" t="str" cm="1">
        <f t="array" ref="AK462">_xlfn.IFS(A462&lt;25,"UNDER 25",A462&lt;=34,"25-34",A462&lt;=44,"35-44",A462&lt;=54,"45-54",TRUE,"OVER 55")</f>
        <v>25-34</v>
      </c>
    </row>
    <row r="463" spans="1:37"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f t="shared" si="7"/>
        <v>0</v>
      </c>
      <c r="AK463" t="str" cm="1">
        <f t="array" ref="AK463">_xlfn.IFS(A463&lt;25,"UNDER 25",A463&lt;=34,"25-34",A463&lt;=44,"35-44",A463&lt;=54,"45-54",TRUE,"OVER 55")</f>
        <v>35-44</v>
      </c>
    </row>
    <row r="464" spans="1:37"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f t="shared" si="7"/>
        <v>0</v>
      </c>
      <c r="AK464" t="str" cm="1">
        <f t="array" ref="AK464">_xlfn.IFS(A464&lt;25,"UNDER 25",A464&lt;=34,"25-34",A464&lt;=44,"35-44",A464&lt;=54,"45-54",TRUE,"OVER 55")</f>
        <v>25-34</v>
      </c>
    </row>
    <row r="465" spans="1:37"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f t="shared" si="7"/>
        <v>1</v>
      </c>
      <c r="AK465" t="str" cm="1">
        <f t="array" ref="AK465">_xlfn.IFS(A465&lt;25,"UNDER 25",A465&lt;=34,"25-34",A465&lt;=44,"35-44",A465&lt;=54,"45-54",TRUE,"OVER 55")</f>
        <v>25-34</v>
      </c>
    </row>
    <row r="466" spans="1:37"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f t="shared" si="7"/>
        <v>0</v>
      </c>
      <c r="AK466" t="str" cm="1">
        <f t="array" ref="AK466">_xlfn.IFS(A466&lt;25,"UNDER 25",A466&lt;=34,"25-34",A466&lt;=44,"35-44",A466&lt;=54,"45-54",TRUE,"OVER 55")</f>
        <v>35-44</v>
      </c>
    </row>
    <row r="467" spans="1:37"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f t="shared" si="7"/>
        <v>0</v>
      </c>
      <c r="AK467" t="str" cm="1">
        <f t="array" ref="AK467">_xlfn.IFS(A467&lt;25,"UNDER 25",A467&lt;=34,"25-34",A467&lt;=44,"35-44",A467&lt;=54,"45-54",TRUE,"OVER 55")</f>
        <v>45-54</v>
      </c>
    </row>
    <row r="468" spans="1:37"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f t="shared" si="7"/>
        <v>0</v>
      </c>
      <c r="AK468" t="str" cm="1">
        <f t="array" ref="AK468">_xlfn.IFS(A468&lt;25,"UNDER 25",A468&lt;=34,"25-34",A468&lt;=44,"35-44",A468&lt;=54,"45-54",TRUE,"OVER 55")</f>
        <v>35-44</v>
      </c>
    </row>
    <row r="469" spans="1:37"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f t="shared" si="7"/>
        <v>0</v>
      </c>
      <c r="AK469" t="str" cm="1">
        <f t="array" ref="AK469">_xlfn.IFS(A469&lt;25,"UNDER 25",A469&lt;=34,"25-34",A469&lt;=44,"35-44",A469&lt;=54,"45-54",TRUE,"OVER 55")</f>
        <v>35-44</v>
      </c>
    </row>
    <row r="470" spans="1:37"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f t="shared" si="7"/>
        <v>0</v>
      </c>
      <c r="AK470" t="str" cm="1">
        <f t="array" ref="AK470">_xlfn.IFS(A470&lt;25,"UNDER 25",A470&lt;=34,"25-34",A470&lt;=44,"35-44",A470&lt;=54,"45-54",TRUE,"OVER 55")</f>
        <v>45-54</v>
      </c>
    </row>
    <row r="471" spans="1:37"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f t="shared" si="7"/>
        <v>1</v>
      </c>
      <c r="AK471" t="str" cm="1">
        <f t="array" ref="AK471">_xlfn.IFS(A471&lt;25,"UNDER 25",A471&lt;=34,"25-34",A471&lt;=44,"35-44",A471&lt;=54,"45-54",TRUE,"OVER 55")</f>
        <v>25-34</v>
      </c>
    </row>
    <row r="472" spans="1:37"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f t="shared" si="7"/>
        <v>0</v>
      </c>
      <c r="AK472" t="str" cm="1">
        <f t="array" ref="AK472">_xlfn.IFS(A472&lt;25,"UNDER 25",A472&lt;=34,"25-34",A472&lt;=44,"35-44",A472&lt;=54,"45-54",TRUE,"OVER 55")</f>
        <v>UNDER 25</v>
      </c>
    </row>
    <row r="473" spans="1:37"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f t="shared" si="7"/>
        <v>0</v>
      </c>
      <c r="AK473" t="str" cm="1">
        <f t="array" ref="AK473">_xlfn.IFS(A473&lt;25,"UNDER 25",A473&lt;=34,"25-34",A473&lt;=44,"35-44",A473&lt;=54,"45-54",TRUE,"OVER 55")</f>
        <v>35-44</v>
      </c>
    </row>
    <row r="474" spans="1:37"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f t="shared" si="7"/>
        <v>0</v>
      </c>
      <c r="AK474" t="str" cm="1">
        <f t="array" ref="AK474">_xlfn.IFS(A474&lt;25,"UNDER 25",A474&lt;=34,"25-34",A474&lt;=44,"35-44",A474&lt;=54,"45-54",TRUE,"OVER 55")</f>
        <v>35-44</v>
      </c>
    </row>
    <row r="475" spans="1:37"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f t="shared" si="7"/>
        <v>0</v>
      </c>
      <c r="AK475" t="str" cm="1">
        <f t="array" ref="AK475">_xlfn.IFS(A475&lt;25,"UNDER 25",A475&lt;=34,"25-34",A475&lt;=44,"35-44",A475&lt;=54,"45-54",TRUE,"OVER 55")</f>
        <v>45-54</v>
      </c>
    </row>
    <row r="476" spans="1:37"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f t="shared" si="7"/>
        <v>0</v>
      </c>
      <c r="AK476" t="str" cm="1">
        <f t="array" ref="AK476">_xlfn.IFS(A476&lt;25,"UNDER 25",A476&lt;=34,"25-34",A476&lt;=44,"35-44",A476&lt;=54,"45-54",TRUE,"OVER 55")</f>
        <v>UNDER 25</v>
      </c>
    </row>
    <row r="477" spans="1:37"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f t="shared" si="7"/>
        <v>0</v>
      </c>
      <c r="AK477" t="str" cm="1">
        <f t="array" ref="AK477">_xlfn.IFS(A477&lt;25,"UNDER 25",A477&lt;=34,"25-34",A477&lt;=44,"35-44",A477&lt;=54,"45-54",TRUE,"OVER 55")</f>
        <v>25-34</v>
      </c>
    </row>
    <row r="478" spans="1:37"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f t="shared" si="7"/>
        <v>0</v>
      </c>
      <c r="AK478" t="str" cm="1">
        <f t="array" ref="AK478">_xlfn.IFS(A478&lt;25,"UNDER 25",A478&lt;=34,"25-34",A478&lt;=44,"35-44",A478&lt;=54,"45-54",TRUE,"OVER 55")</f>
        <v>UNDER 25</v>
      </c>
    </row>
    <row r="479" spans="1:37"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f t="shared" si="7"/>
        <v>0</v>
      </c>
      <c r="AK479" t="str" cm="1">
        <f t="array" ref="AK479">_xlfn.IFS(A479&lt;25,"UNDER 25",A479&lt;=34,"25-34",A479&lt;=44,"35-44",A479&lt;=54,"45-54",TRUE,"OVER 55")</f>
        <v>45-54</v>
      </c>
    </row>
    <row r="480" spans="1:37"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f t="shared" si="7"/>
        <v>0</v>
      </c>
      <c r="AK480" t="str" cm="1">
        <f t="array" ref="AK480">_xlfn.IFS(A480&lt;25,"UNDER 25",A480&lt;=34,"25-34",A480&lt;=44,"35-44",A480&lt;=54,"45-54",TRUE,"OVER 55")</f>
        <v>25-34</v>
      </c>
    </row>
    <row r="481" spans="1:37"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f t="shared" si="7"/>
        <v>1</v>
      </c>
      <c r="AK481" t="str" cm="1">
        <f t="array" ref="AK481">_xlfn.IFS(A481&lt;25,"UNDER 25",A481&lt;=34,"25-34",A481&lt;=44,"35-44",A481&lt;=54,"45-54",TRUE,"OVER 55")</f>
        <v>UNDER 25</v>
      </c>
    </row>
    <row r="482" spans="1:37"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f t="shared" si="7"/>
        <v>1</v>
      </c>
      <c r="AK482" t="str" cm="1">
        <f t="array" ref="AK482">_xlfn.IFS(A482&lt;25,"UNDER 25",A482&lt;=34,"25-34",A482&lt;=44,"35-44",A482&lt;=54,"45-54",TRUE,"OVER 55")</f>
        <v>25-34</v>
      </c>
    </row>
    <row r="483" spans="1:37"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f t="shared" si="7"/>
        <v>0</v>
      </c>
      <c r="AK483" t="str" cm="1">
        <f t="array" ref="AK483">_xlfn.IFS(A483&lt;25,"UNDER 25",A483&lt;=34,"25-34",A483&lt;=44,"35-44",A483&lt;=54,"45-54",TRUE,"OVER 55")</f>
        <v>25-34</v>
      </c>
    </row>
    <row r="484" spans="1:37"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f t="shared" si="7"/>
        <v>1</v>
      </c>
      <c r="AK484" t="str" cm="1">
        <f t="array" ref="AK484">_xlfn.IFS(A484&lt;25,"UNDER 25",A484&lt;=34,"25-34",A484&lt;=44,"35-44",A484&lt;=54,"45-54",TRUE,"OVER 55")</f>
        <v>25-34</v>
      </c>
    </row>
    <row r="485" spans="1:37"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f t="shared" si="7"/>
        <v>0</v>
      </c>
      <c r="AK485" t="str" cm="1">
        <f t="array" ref="AK485">_xlfn.IFS(A485&lt;25,"UNDER 25",A485&lt;=34,"25-34",A485&lt;=44,"35-44",A485&lt;=54,"45-54",TRUE,"OVER 55")</f>
        <v>35-44</v>
      </c>
    </row>
    <row r="486" spans="1:37"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f t="shared" si="7"/>
        <v>0</v>
      </c>
      <c r="AK486" t="str" cm="1">
        <f t="array" ref="AK486">_xlfn.IFS(A486&lt;25,"UNDER 25",A486&lt;=34,"25-34",A486&lt;=44,"35-44",A486&lt;=54,"45-54",TRUE,"OVER 55")</f>
        <v>25-34</v>
      </c>
    </row>
    <row r="487" spans="1:37"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f t="shared" si="7"/>
        <v>0</v>
      </c>
      <c r="AK487" t="str" cm="1">
        <f t="array" ref="AK487">_xlfn.IFS(A487&lt;25,"UNDER 25",A487&lt;=34,"25-34",A487&lt;=44,"35-44",A487&lt;=54,"45-54",TRUE,"OVER 55")</f>
        <v>25-34</v>
      </c>
    </row>
    <row r="488" spans="1:37"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f t="shared" si="7"/>
        <v>0</v>
      </c>
      <c r="AK488" t="str" cm="1">
        <f t="array" ref="AK488">_xlfn.IFS(A488&lt;25,"UNDER 25",A488&lt;=34,"25-34",A488&lt;=44,"35-44",A488&lt;=54,"45-54",TRUE,"OVER 55")</f>
        <v>35-44</v>
      </c>
    </row>
    <row r="489" spans="1:37"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f t="shared" si="7"/>
        <v>0</v>
      </c>
      <c r="AK489" t="str" cm="1">
        <f t="array" ref="AK489">_xlfn.IFS(A489&lt;25,"UNDER 25",A489&lt;=34,"25-34",A489&lt;=44,"35-44",A489&lt;=54,"45-54",TRUE,"OVER 55")</f>
        <v>UNDER 25</v>
      </c>
    </row>
    <row r="490" spans="1:37"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f t="shared" si="7"/>
        <v>0</v>
      </c>
      <c r="AK490" t="str" cm="1">
        <f t="array" ref="AK490">_xlfn.IFS(A490&lt;25,"UNDER 25",A490&lt;=34,"25-34",A490&lt;=44,"35-44",A490&lt;=54,"45-54",TRUE,"OVER 55")</f>
        <v>35-44</v>
      </c>
    </row>
    <row r="491" spans="1:37"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f t="shared" si="7"/>
        <v>0</v>
      </c>
      <c r="AK491" t="str" cm="1">
        <f t="array" ref="AK491">_xlfn.IFS(A491&lt;25,"UNDER 25",A491&lt;=34,"25-34",A491&lt;=44,"35-44",A491&lt;=54,"45-54",TRUE,"OVER 55")</f>
        <v>35-44</v>
      </c>
    </row>
    <row r="492" spans="1:37"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f t="shared" si="7"/>
        <v>0</v>
      </c>
      <c r="AK492" t="str" cm="1">
        <f t="array" ref="AK492">_xlfn.IFS(A492&lt;25,"UNDER 25",A492&lt;=34,"25-34",A492&lt;=44,"35-44",A492&lt;=54,"45-54",TRUE,"OVER 55")</f>
        <v>35-44</v>
      </c>
    </row>
    <row r="493" spans="1:37"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f t="shared" si="7"/>
        <v>0</v>
      </c>
      <c r="AK493" t="str" cm="1">
        <f t="array" ref="AK493">_xlfn.IFS(A493&lt;25,"UNDER 25",A493&lt;=34,"25-34",A493&lt;=44,"35-44",A493&lt;=54,"45-54",TRUE,"OVER 55")</f>
        <v>35-44</v>
      </c>
    </row>
    <row r="494" spans="1:37"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f t="shared" si="7"/>
        <v>0</v>
      </c>
      <c r="AK494" t="str" cm="1">
        <f t="array" ref="AK494">_xlfn.IFS(A494&lt;25,"UNDER 25",A494&lt;=34,"25-34",A494&lt;=44,"35-44",A494&lt;=54,"45-54",TRUE,"OVER 55")</f>
        <v>45-54</v>
      </c>
    </row>
    <row r="495" spans="1:37"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f t="shared" si="7"/>
        <v>0</v>
      </c>
      <c r="AK495" t="str" cm="1">
        <f t="array" ref="AK495">_xlfn.IFS(A495&lt;25,"UNDER 25",A495&lt;=34,"25-34",A495&lt;=44,"35-44",A495&lt;=54,"45-54",TRUE,"OVER 55")</f>
        <v>35-44</v>
      </c>
    </row>
    <row r="496" spans="1:37"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f t="shared" si="7"/>
        <v>0</v>
      </c>
      <c r="AK496" t="str" cm="1">
        <f t="array" ref="AK496">_xlfn.IFS(A496&lt;25,"UNDER 25",A496&lt;=34,"25-34",A496&lt;=44,"35-44",A496&lt;=54,"45-54",TRUE,"OVER 55")</f>
        <v>25-34</v>
      </c>
    </row>
    <row r="497" spans="1:37"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f t="shared" si="7"/>
        <v>1</v>
      </c>
      <c r="AK497" t="str" cm="1">
        <f t="array" ref="AK497">_xlfn.IFS(A497&lt;25,"UNDER 25",A497&lt;=34,"25-34",A497&lt;=44,"35-44",A497&lt;=54,"45-54",TRUE,"OVER 55")</f>
        <v>25-34</v>
      </c>
    </row>
    <row r="498" spans="1:37"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f t="shared" si="7"/>
        <v>0</v>
      </c>
      <c r="AK498" t="str" cm="1">
        <f t="array" ref="AK498">_xlfn.IFS(A498&lt;25,"UNDER 25",A498&lt;=34,"25-34",A498&lt;=44,"35-44",A498&lt;=54,"45-54",TRUE,"OVER 55")</f>
        <v>UNDER 25</v>
      </c>
    </row>
    <row r="499" spans="1:37"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f t="shared" si="7"/>
        <v>0</v>
      </c>
      <c r="AK499" t="str" cm="1">
        <f t="array" ref="AK499">_xlfn.IFS(A499&lt;25,"UNDER 25",A499&lt;=34,"25-34",A499&lt;=44,"35-44",A499&lt;=54,"45-54",TRUE,"OVER 55")</f>
        <v>35-44</v>
      </c>
    </row>
    <row r="500" spans="1:37"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f t="shared" si="7"/>
        <v>0</v>
      </c>
      <c r="AK500" t="str" cm="1">
        <f t="array" ref="AK500">_xlfn.IFS(A500&lt;25,"UNDER 25",A500&lt;=34,"25-34",A500&lt;=44,"35-44",A500&lt;=54,"45-54",TRUE,"OVER 55")</f>
        <v>UNDER 25</v>
      </c>
    </row>
    <row r="501" spans="1:37"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f t="shared" si="7"/>
        <v>0</v>
      </c>
      <c r="AK501" t="str" cm="1">
        <f t="array" ref="AK501">_xlfn.IFS(A501&lt;25,"UNDER 25",A501&lt;=34,"25-34",A501&lt;=44,"35-44",A501&lt;=54,"45-54",TRUE,"OVER 55")</f>
        <v>25-34</v>
      </c>
    </row>
    <row r="502" spans="1:37"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f t="shared" si="7"/>
        <v>0</v>
      </c>
      <c r="AK502" t="str" cm="1">
        <f t="array" ref="AK502">_xlfn.IFS(A502&lt;25,"UNDER 25",A502&lt;=34,"25-34",A502&lt;=44,"35-44",A502&lt;=54,"45-54",TRUE,"OVER 55")</f>
        <v>25-34</v>
      </c>
    </row>
    <row r="503" spans="1:37"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f t="shared" si="7"/>
        <v>0</v>
      </c>
      <c r="AK503" t="str" cm="1">
        <f t="array" ref="AK503">_xlfn.IFS(A503&lt;25,"UNDER 25",A503&lt;=34,"25-34",A503&lt;=44,"35-44",A503&lt;=54,"45-54",TRUE,"OVER 55")</f>
        <v>25-34</v>
      </c>
    </row>
    <row r="504" spans="1:37"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f t="shared" si="7"/>
        <v>0</v>
      </c>
      <c r="AK504" t="str" cm="1">
        <f t="array" ref="AK504">_xlfn.IFS(A504&lt;25,"UNDER 25",A504&lt;=34,"25-34",A504&lt;=44,"35-44",A504&lt;=54,"45-54",TRUE,"OVER 55")</f>
        <v>45-54</v>
      </c>
    </row>
    <row r="505" spans="1:37"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f t="shared" si="7"/>
        <v>0</v>
      </c>
      <c r="AK505" t="str" cm="1">
        <f t="array" ref="AK505">_xlfn.IFS(A505&lt;25,"UNDER 25",A505&lt;=34,"25-34",A505&lt;=44,"35-44",A505&lt;=54,"45-54",TRUE,"OVER 55")</f>
        <v>25-34</v>
      </c>
    </row>
    <row r="506" spans="1:37"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f t="shared" si="7"/>
        <v>1</v>
      </c>
      <c r="AK506" t="str" cm="1">
        <f t="array" ref="AK506">_xlfn.IFS(A506&lt;25,"UNDER 25",A506&lt;=34,"25-34",A506&lt;=44,"35-44",A506&lt;=54,"45-54",TRUE,"OVER 55")</f>
        <v>45-54</v>
      </c>
    </row>
    <row r="507" spans="1:37"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f t="shared" si="7"/>
        <v>0</v>
      </c>
      <c r="AK507" t="str" cm="1">
        <f t="array" ref="AK507">_xlfn.IFS(A507&lt;25,"UNDER 25",A507&lt;=34,"25-34",A507&lt;=44,"35-44",A507&lt;=54,"45-54",TRUE,"OVER 55")</f>
        <v>25-34</v>
      </c>
    </row>
    <row r="508" spans="1:37"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f t="shared" si="7"/>
        <v>0</v>
      </c>
      <c r="AK508" t="str" cm="1">
        <f t="array" ref="AK508">_xlfn.IFS(A508&lt;25,"UNDER 25",A508&lt;=34,"25-34",A508&lt;=44,"35-44",A508&lt;=54,"45-54",TRUE,"OVER 55")</f>
        <v>35-44</v>
      </c>
    </row>
    <row r="509" spans="1:37"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f t="shared" si="7"/>
        <v>0</v>
      </c>
      <c r="AK509" t="str" cm="1">
        <f t="array" ref="AK509">_xlfn.IFS(A509&lt;25,"UNDER 25",A509&lt;=34,"25-34",A509&lt;=44,"35-44",A509&lt;=54,"45-54",TRUE,"OVER 55")</f>
        <v>25-34</v>
      </c>
    </row>
    <row r="510" spans="1:37"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f t="shared" si="7"/>
        <v>0</v>
      </c>
      <c r="AK510" t="str" cm="1">
        <f t="array" ref="AK510">_xlfn.IFS(A510&lt;25,"UNDER 25",A510&lt;=34,"25-34",A510&lt;=44,"35-44",A510&lt;=54,"45-54",TRUE,"OVER 55")</f>
        <v>35-44</v>
      </c>
    </row>
    <row r="511" spans="1:37"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f t="shared" si="7"/>
        <v>0</v>
      </c>
      <c r="AK511" t="str" cm="1">
        <f t="array" ref="AK511">_xlfn.IFS(A511&lt;25,"UNDER 25",A511&lt;=34,"25-34",A511&lt;=44,"35-44",A511&lt;=54,"45-54",TRUE,"OVER 55")</f>
        <v>25-34</v>
      </c>
    </row>
    <row r="512" spans="1:37"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f t="shared" si="7"/>
        <v>0</v>
      </c>
      <c r="AK512" t="str" cm="1">
        <f t="array" ref="AK512">_xlfn.IFS(A512&lt;25,"UNDER 25",A512&lt;=34,"25-34",A512&lt;=44,"35-44",A512&lt;=54,"45-54",TRUE,"OVER 55")</f>
        <v>45-54</v>
      </c>
    </row>
    <row r="513" spans="1:37"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f t="shared" si="7"/>
        <v>0</v>
      </c>
      <c r="AK513" t="str" cm="1">
        <f t="array" ref="AK513">_xlfn.IFS(A513&lt;25,"UNDER 25",A513&lt;=34,"25-34",A513&lt;=44,"35-44",A513&lt;=54,"45-54",TRUE,"OVER 55")</f>
        <v>35-44</v>
      </c>
    </row>
    <row r="514" spans="1:37"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f t="shared" si="7"/>
        <v>0</v>
      </c>
      <c r="AK514" t="str" cm="1">
        <f t="array" ref="AK514">_xlfn.IFS(A514&lt;25,"UNDER 25",A514&lt;=34,"25-34",A514&lt;=44,"35-44",A514&lt;=54,"45-54",TRUE,"OVER 55")</f>
        <v>25-34</v>
      </c>
    </row>
    <row r="515" spans="1:37"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f t="shared" ref="AJ515:AJ578" si="8">IF(B515="yes",1,0)</f>
        <v>1</v>
      </c>
      <c r="AK515" t="str" cm="1">
        <f t="array" ref="AK515">_xlfn.IFS(A515&lt;25,"UNDER 25",A515&lt;=34,"25-34",A515&lt;=44,"35-44",A515&lt;=54,"45-54",TRUE,"OVER 55")</f>
        <v>UNDER 25</v>
      </c>
    </row>
    <row r="516" spans="1:37"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f t="shared" si="8"/>
        <v>1</v>
      </c>
      <c r="AK516" t="str" cm="1">
        <f t="array" ref="AK516">_xlfn.IFS(A516&lt;25,"UNDER 25",A516&lt;=34,"25-34",A516&lt;=44,"35-44",A516&lt;=54,"45-54",TRUE,"OVER 55")</f>
        <v>25-34</v>
      </c>
    </row>
    <row r="517" spans="1:37"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f t="shared" si="8"/>
        <v>0</v>
      </c>
      <c r="AK517" t="str" cm="1">
        <f t="array" ref="AK517">_xlfn.IFS(A517&lt;25,"UNDER 25",A517&lt;=34,"25-34",A517&lt;=44,"35-44",A517&lt;=54,"45-54",TRUE,"OVER 55")</f>
        <v>35-44</v>
      </c>
    </row>
    <row r="518" spans="1:37"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f t="shared" si="8"/>
        <v>0</v>
      </c>
      <c r="AK518" t="str" cm="1">
        <f t="array" ref="AK518">_xlfn.IFS(A518&lt;25,"UNDER 25",A518&lt;=34,"25-34",A518&lt;=44,"35-44",A518&lt;=54,"45-54",TRUE,"OVER 55")</f>
        <v>UNDER 25</v>
      </c>
    </row>
    <row r="519" spans="1:37"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f t="shared" si="8"/>
        <v>0</v>
      </c>
      <c r="AK519" t="str" cm="1">
        <f t="array" ref="AK519">_xlfn.IFS(A519&lt;25,"UNDER 25",A519&lt;=34,"25-34",A519&lt;=44,"35-44",A519&lt;=54,"45-54",TRUE,"OVER 55")</f>
        <v>25-34</v>
      </c>
    </row>
    <row r="520" spans="1:37"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f t="shared" si="8"/>
        <v>0</v>
      </c>
      <c r="AK520" t="str" cm="1">
        <f t="array" ref="AK520">_xlfn.IFS(A520&lt;25,"UNDER 25",A520&lt;=34,"25-34",A520&lt;=44,"35-44",A520&lt;=54,"45-54",TRUE,"OVER 55")</f>
        <v>35-44</v>
      </c>
    </row>
    <row r="521" spans="1:37"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f t="shared" si="8"/>
        <v>0</v>
      </c>
      <c r="AK521" t="str" cm="1">
        <f t="array" ref="AK521">_xlfn.IFS(A521&lt;25,"UNDER 25",A521&lt;=34,"25-34",A521&lt;=44,"35-44",A521&lt;=54,"45-54",TRUE,"OVER 55")</f>
        <v>25-34</v>
      </c>
    </row>
    <row r="522" spans="1:37"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f t="shared" si="8"/>
        <v>0</v>
      </c>
      <c r="AK522" t="str" cm="1">
        <f t="array" ref="AK522">_xlfn.IFS(A522&lt;25,"UNDER 25",A522&lt;=34,"25-34",A522&lt;=44,"35-44",A522&lt;=54,"45-54",TRUE,"OVER 55")</f>
        <v>45-54</v>
      </c>
    </row>
    <row r="523" spans="1:37"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f t="shared" si="8"/>
        <v>0</v>
      </c>
      <c r="AK523" t="str" cm="1">
        <f t="array" ref="AK523">_xlfn.IFS(A523&lt;25,"UNDER 25",A523&lt;=34,"25-34",A523&lt;=44,"35-44",A523&lt;=54,"45-54",TRUE,"OVER 55")</f>
        <v>25-34</v>
      </c>
    </row>
    <row r="524" spans="1:37"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f t="shared" si="8"/>
        <v>0</v>
      </c>
      <c r="AK524" t="str" cm="1">
        <f t="array" ref="AK524">_xlfn.IFS(A524&lt;25,"UNDER 25",A524&lt;=34,"25-34",A524&lt;=44,"35-44",A524&lt;=54,"45-54",TRUE,"OVER 55")</f>
        <v>35-44</v>
      </c>
    </row>
    <row r="525" spans="1:37"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f t="shared" si="8"/>
        <v>0</v>
      </c>
      <c r="AK525" t="str" cm="1">
        <f t="array" ref="AK525">_xlfn.IFS(A525&lt;25,"UNDER 25",A525&lt;=34,"25-34",A525&lt;=44,"35-44",A525&lt;=54,"45-54",TRUE,"OVER 55")</f>
        <v>45-54</v>
      </c>
    </row>
    <row r="526" spans="1:37"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f t="shared" si="8"/>
        <v>0</v>
      </c>
      <c r="AK526" t="str" cm="1">
        <f t="array" ref="AK526">_xlfn.IFS(A526&lt;25,"UNDER 25",A526&lt;=34,"25-34",A526&lt;=44,"35-44",A526&lt;=54,"45-54",TRUE,"OVER 55")</f>
        <v>25-34</v>
      </c>
    </row>
    <row r="527" spans="1:37"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f t="shared" si="8"/>
        <v>1</v>
      </c>
      <c r="AK527" t="str" cm="1">
        <f t="array" ref="AK527">_xlfn.IFS(A527&lt;25,"UNDER 25",A527&lt;=34,"25-34",A527&lt;=44,"35-44",A527&lt;=54,"45-54",TRUE,"OVER 55")</f>
        <v>UNDER 25</v>
      </c>
    </row>
    <row r="528" spans="1:37"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f t="shared" si="8"/>
        <v>0</v>
      </c>
      <c r="AK528" t="str" cm="1">
        <f t="array" ref="AK528">_xlfn.IFS(A528&lt;25,"UNDER 25",A528&lt;=34,"25-34",A528&lt;=44,"35-44",A528&lt;=54,"45-54",TRUE,"OVER 55")</f>
        <v>35-44</v>
      </c>
    </row>
    <row r="529" spans="1:37"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f t="shared" si="8"/>
        <v>0</v>
      </c>
      <c r="AK529" t="str" cm="1">
        <f t="array" ref="AK529">_xlfn.IFS(A529&lt;25,"UNDER 25",A529&lt;=34,"25-34",A529&lt;=44,"35-44",A529&lt;=54,"45-54",TRUE,"OVER 55")</f>
        <v>25-34</v>
      </c>
    </row>
    <row r="530" spans="1:37"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f t="shared" si="8"/>
        <v>1</v>
      </c>
      <c r="AK530" t="str" cm="1">
        <f t="array" ref="AK530">_xlfn.IFS(A530&lt;25,"UNDER 25",A530&lt;=34,"25-34",A530&lt;=44,"35-44",A530&lt;=54,"45-54",TRUE,"OVER 55")</f>
        <v>45-54</v>
      </c>
    </row>
    <row r="531" spans="1:37"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f t="shared" si="8"/>
        <v>0</v>
      </c>
      <c r="AK531" t="str" cm="1">
        <f t="array" ref="AK531">_xlfn.IFS(A531&lt;25,"UNDER 25",A531&lt;=34,"25-34",A531&lt;=44,"35-44",A531&lt;=54,"45-54",TRUE,"OVER 55")</f>
        <v>35-44</v>
      </c>
    </row>
    <row r="532" spans="1:37"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f t="shared" si="8"/>
        <v>0</v>
      </c>
      <c r="AK532" t="str" cm="1">
        <f t="array" ref="AK532">_xlfn.IFS(A532&lt;25,"UNDER 25",A532&lt;=34,"25-34",A532&lt;=44,"35-44",A532&lt;=54,"45-54",TRUE,"OVER 55")</f>
        <v>25-34</v>
      </c>
    </row>
    <row r="533" spans="1:37"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f t="shared" si="8"/>
        <v>0</v>
      </c>
      <c r="AK533" t="str" cm="1">
        <f t="array" ref="AK533">_xlfn.IFS(A533&lt;25,"UNDER 25",A533&lt;=34,"25-34",A533&lt;=44,"35-44",A533&lt;=54,"45-54",TRUE,"OVER 55")</f>
        <v>25-34</v>
      </c>
    </row>
    <row r="534" spans="1:37"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f t="shared" si="8"/>
        <v>0</v>
      </c>
      <c r="AK534" t="str" cm="1">
        <f t="array" ref="AK534">_xlfn.IFS(A534&lt;25,"UNDER 25",A534&lt;=34,"25-34",A534&lt;=44,"35-44",A534&lt;=54,"45-54",TRUE,"OVER 55")</f>
        <v>45-54</v>
      </c>
    </row>
    <row r="535" spans="1:37"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f t="shared" si="8"/>
        <v>0</v>
      </c>
      <c r="AK535" t="str" cm="1">
        <f t="array" ref="AK535">_xlfn.IFS(A535&lt;25,"UNDER 25",A535&lt;=34,"25-34",A535&lt;=44,"35-44",A535&lt;=54,"45-54",TRUE,"OVER 55")</f>
        <v>35-44</v>
      </c>
    </row>
    <row r="536" spans="1:37"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f t="shared" si="8"/>
        <v>0</v>
      </c>
      <c r="AK536" t="str" cm="1">
        <f t="array" ref="AK536">_xlfn.IFS(A536&lt;25,"UNDER 25",A536&lt;=34,"25-34",A536&lt;=44,"35-44",A536&lt;=54,"45-54",TRUE,"OVER 55")</f>
        <v>45-54</v>
      </c>
    </row>
    <row r="537" spans="1:37"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f t="shared" si="8"/>
        <v>0</v>
      </c>
      <c r="AK537" t="str" cm="1">
        <f t="array" ref="AK537">_xlfn.IFS(A537&lt;25,"UNDER 25",A537&lt;=34,"25-34",A537&lt;=44,"35-44",A537&lt;=54,"45-54",TRUE,"OVER 55")</f>
        <v>35-44</v>
      </c>
    </row>
    <row r="538" spans="1:37"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f t="shared" si="8"/>
        <v>0</v>
      </c>
      <c r="AK538" t="str" cm="1">
        <f t="array" ref="AK538">_xlfn.IFS(A538&lt;25,"UNDER 25",A538&lt;=34,"25-34",A538&lt;=44,"35-44",A538&lt;=54,"45-54",TRUE,"OVER 55")</f>
        <v>OVER 55</v>
      </c>
    </row>
    <row r="539" spans="1:37"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f t="shared" si="8"/>
        <v>0</v>
      </c>
      <c r="AK539" t="str" cm="1">
        <f t="array" ref="AK539">_xlfn.IFS(A539&lt;25,"UNDER 25",A539&lt;=34,"25-34",A539&lt;=44,"35-44",A539&lt;=54,"45-54",TRUE,"OVER 55")</f>
        <v>25-34</v>
      </c>
    </row>
    <row r="540" spans="1:37"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f t="shared" si="8"/>
        <v>0</v>
      </c>
      <c r="AK540" t="str" cm="1">
        <f t="array" ref="AK540">_xlfn.IFS(A540&lt;25,"UNDER 25",A540&lt;=34,"25-34",A540&lt;=44,"35-44",A540&lt;=54,"45-54",TRUE,"OVER 55")</f>
        <v>35-44</v>
      </c>
    </row>
    <row r="541" spans="1:37"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f t="shared" si="8"/>
        <v>0</v>
      </c>
      <c r="AK541" t="str" cm="1">
        <f t="array" ref="AK541">_xlfn.IFS(A541&lt;25,"UNDER 25",A541&lt;=34,"25-34",A541&lt;=44,"35-44",A541&lt;=54,"45-54",TRUE,"OVER 55")</f>
        <v>45-54</v>
      </c>
    </row>
    <row r="542" spans="1:37"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f t="shared" si="8"/>
        <v>1</v>
      </c>
      <c r="AK542" t="str" cm="1">
        <f t="array" ref="AK542">_xlfn.IFS(A542&lt;25,"UNDER 25",A542&lt;=34,"25-34",A542&lt;=44,"35-44",A542&lt;=54,"45-54",TRUE,"OVER 55")</f>
        <v>25-34</v>
      </c>
    </row>
    <row r="543" spans="1:37"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f t="shared" si="8"/>
        <v>0</v>
      </c>
      <c r="AK543" t="str" cm="1">
        <f t="array" ref="AK543">_xlfn.IFS(A543&lt;25,"UNDER 25",A543&lt;=34,"25-34",A543&lt;=44,"35-44",A543&lt;=54,"45-54",TRUE,"OVER 55")</f>
        <v>35-44</v>
      </c>
    </row>
    <row r="544" spans="1:37"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f t="shared" si="8"/>
        <v>0</v>
      </c>
      <c r="AK544" t="str" cm="1">
        <f t="array" ref="AK544">_xlfn.IFS(A544&lt;25,"UNDER 25",A544&lt;=34,"25-34",A544&lt;=44,"35-44",A544&lt;=54,"45-54",TRUE,"OVER 55")</f>
        <v>35-44</v>
      </c>
    </row>
    <row r="545" spans="1:37"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f t="shared" si="8"/>
        <v>0</v>
      </c>
      <c r="AK545" t="str" cm="1">
        <f t="array" ref="AK545">_xlfn.IFS(A545&lt;25,"UNDER 25",A545&lt;=34,"25-34",A545&lt;=44,"35-44",A545&lt;=54,"45-54",TRUE,"OVER 55")</f>
        <v>35-44</v>
      </c>
    </row>
    <row r="546" spans="1:37"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f t="shared" si="8"/>
        <v>0</v>
      </c>
      <c r="AK546" t="str" cm="1">
        <f t="array" ref="AK546">_xlfn.IFS(A546&lt;25,"UNDER 25",A546&lt;=34,"25-34",A546&lt;=44,"35-44",A546&lt;=54,"45-54",TRUE,"OVER 55")</f>
        <v>45-54</v>
      </c>
    </row>
    <row r="547" spans="1:37"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f t="shared" si="8"/>
        <v>0</v>
      </c>
      <c r="AK547" t="str" cm="1">
        <f t="array" ref="AK547">_xlfn.IFS(A547&lt;25,"UNDER 25",A547&lt;=34,"25-34",A547&lt;=44,"35-44",A547&lt;=54,"45-54",TRUE,"OVER 55")</f>
        <v>25-34</v>
      </c>
    </row>
    <row r="548" spans="1:37"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f t="shared" si="8"/>
        <v>0</v>
      </c>
      <c r="AK548" t="str" cm="1">
        <f t="array" ref="AK548">_xlfn.IFS(A548&lt;25,"UNDER 25",A548&lt;=34,"25-34",A548&lt;=44,"35-44",A548&lt;=54,"45-54",TRUE,"OVER 55")</f>
        <v>25-34</v>
      </c>
    </row>
    <row r="549" spans="1:37"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f t="shared" si="8"/>
        <v>1</v>
      </c>
      <c r="AK549" t="str" cm="1">
        <f t="array" ref="AK549">_xlfn.IFS(A549&lt;25,"UNDER 25",A549&lt;=34,"25-34",A549&lt;=44,"35-44",A549&lt;=54,"45-54",TRUE,"OVER 55")</f>
        <v>35-44</v>
      </c>
    </row>
    <row r="550" spans="1:37"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f t="shared" si="8"/>
        <v>0</v>
      </c>
      <c r="AK550" t="str" cm="1">
        <f t="array" ref="AK550">_xlfn.IFS(A550&lt;25,"UNDER 25",A550&lt;=34,"25-34",A550&lt;=44,"35-44",A550&lt;=54,"45-54",TRUE,"OVER 55")</f>
        <v>35-44</v>
      </c>
    </row>
    <row r="551" spans="1:37"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f t="shared" si="8"/>
        <v>0</v>
      </c>
      <c r="AK551" t="str" cm="1">
        <f t="array" ref="AK551">_xlfn.IFS(A551&lt;25,"UNDER 25",A551&lt;=34,"25-34",A551&lt;=44,"35-44",A551&lt;=54,"45-54",TRUE,"OVER 55")</f>
        <v>25-34</v>
      </c>
    </row>
    <row r="552" spans="1:37"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f t="shared" si="8"/>
        <v>0</v>
      </c>
      <c r="AK552" t="str" cm="1">
        <f t="array" ref="AK552">_xlfn.IFS(A552&lt;25,"UNDER 25",A552&lt;=34,"25-34",A552&lt;=44,"35-44",A552&lt;=54,"45-54",TRUE,"OVER 55")</f>
        <v>UNDER 25</v>
      </c>
    </row>
    <row r="553" spans="1:37"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f t="shared" si="8"/>
        <v>0</v>
      </c>
      <c r="AK553" t="str" cm="1">
        <f t="array" ref="AK553">_xlfn.IFS(A553&lt;25,"UNDER 25",A553&lt;=34,"25-34",A553&lt;=44,"35-44",A553&lt;=54,"45-54",TRUE,"OVER 55")</f>
        <v>35-44</v>
      </c>
    </row>
    <row r="554" spans="1:37"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f t="shared" si="8"/>
        <v>0</v>
      </c>
      <c r="AK554" t="str" cm="1">
        <f t="array" ref="AK554">_xlfn.IFS(A554&lt;25,"UNDER 25",A554&lt;=34,"25-34",A554&lt;=44,"35-44",A554&lt;=54,"45-54",TRUE,"OVER 55")</f>
        <v>OVER 55</v>
      </c>
    </row>
    <row r="555" spans="1:37"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f t="shared" si="8"/>
        <v>0</v>
      </c>
      <c r="AK555" t="str" cm="1">
        <f t="array" ref="AK555">_xlfn.IFS(A555&lt;25,"UNDER 25",A555&lt;=34,"25-34",A555&lt;=44,"35-44",A555&lt;=54,"45-54",TRUE,"OVER 55")</f>
        <v>35-44</v>
      </c>
    </row>
    <row r="556" spans="1:37"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f t="shared" si="8"/>
        <v>0</v>
      </c>
      <c r="AK556" t="str" cm="1">
        <f t="array" ref="AK556">_xlfn.IFS(A556&lt;25,"UNDER 25",A556&lt;=34,"25-34",A556&lt;=44,"35-44",A556&lt;=54,"45-54",TRUE,"OVER 55")</f>
        <v>25-34</v>
      </c>
    </row>
    <row r="557" spans="1:37"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f t="shared" si="8"/>
        <v>0</v>
      </c>
      <c r="AK557" t="str" cm="1">
        <f t="array" ref="AK557">_xlfn.IFS(A557&lt;25,"UNDER 25",A557&lt;=34,"25-34",A557&lt;=44,"35-44",A557&lt;=54,"45-54",TRUE,"OVER 55")</f>
        <v>25-34</v>
      </c>
    </row>
    <row r="558" spans="1:37"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f t="shared" si="8"/>
        <v>0</v>
      </c>
      <c r="AK558" t="str" cm="1">
        <f t="array" ref="AK558">_xlfn.IFS(A558&lt;25,"UNDER 25",A558&lt;=34,"25-34",A558&lt;=44,"35-44",A558&lt;=54,"45-54",TRUE,"OVER 55")</f>
        <v>45-54</v>
      </c>
    </row>
    <row r="559" spans="1:37"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f t="shared" si="8"/>
        <v>0</v>
      </c>
      <c r="AK559" t="str" cm="1">
        <f t="array" ref="AK559">_xlfn.IFS(A559&lt;25,"UNDER 25",A559&lt;=34,"25-34",A559&lt;=44,"35-44",A559&lt;=54,"45-54",TRUE,"OVER 55")</f>
        <v>35-44</v>
      </c>
    </row>
    <row r="560" spans="1:37"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f t="shared" si="8"/>
        <v>0</v>
      </c>
      <c r="AK560" t="str" cm="1">
        <f t="array" ref="AK560">_xlfn.IFS(A560&lt;25,"UNDER 25",A560&lt;=34,"25-34",A560&lt;=44,"35-44",A560&lt;=54,"45-54",TRUE,"OVER 55")</f>
        <v>25-34</v>
      </c>
    </row>
    <row r="561" spans="1:37"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f t="shared" si="8"/>
        <v>0</v>
      </c>
      <c r="AK561" t="str" cm="1">
        <f t="array" ref="AK561">_xlfn.IFS(A561&lt;25,"UNDER 25",A561&lt;=34,"25-34",A561&lt;=44,"35-44",A561&lt;=54,"45-54",TRUE,"OVER 55")</f>
        <v>35-44</v>
      </c>
    </row>
    <row r="562" spans="1:37"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f t="shared" si="8"/>
        <v>0</v>
      </c>
      <c r="AK562" t="str" cm="1">
        <f t="array" ref="AK562">_xlfn.IFS(A562&lt;25,"UNDER 25",A562&lt;=34,"25-34",A562&lt;=44,"35-44",A562&lt;=54,"45-54",TRUE,"OVER 55")</f>
        <v>25-34</v>
      </c>
    </row>
    <row r="563" spans="1:37"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f t="shared" si="8"/>
        <v>0</v>
      </c>
      <c r="AK563" t="str" cm="1">
        <f t="array" ref="AK563">_xlfn.IFS(A563&lt;25,"UNDER 25",A563&lt;=34,"25-34",A563&lt;=44,"35-44",A563&lt;=54,"45-54",TRUE,"OVER 55")</f>
        <v>45-54</v>
      </c>
    </row>
    <row r="564" spans="1:37"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f t="shared" si="8"/>
        <v>1</v>
      </c>
      <c r="AK564" t="str" cm="1">
        <f t="array" ref="AK564">_xlfn.IFS(A564&lt;25,"UNDER 25",A564&lt;=34,"25-34",A564&lt;=44,"35-44",A564&lt;=54,"45-54",TRUE,"OVER 55")</f>
        <v>25-34</v>
      </c>
    </row>
    <row r="565" spans="1:37"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f t="shared" si="8"/>
        <v>0</v>
      </c>
      <c r="AK565" t="str" cm="1">
        <f t="array" ref="AK565">_xlfn.IFS(A565&lt;25,"UNDER 25",A565&lt;=34,"25-34",A565&lt;=44,"35-44",A565&lt;=54,"45-54",TRUE,"OVER 55")</f>
        <v>25-34</v>
      </c>
    </row>
    <row r="566" spans="1:37"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f t="shared" si="8"/>
        <v>0</v>
      </c>
      <c r="AK566" t="str" cm="1">
        <f t="array" ref="AK566">_xlfn.IFS(A566&lt;25,"UNDER 25",A566&lt;=34,"25-34",A566&lt;=44,"35-44",A566&lt;=54,"45-54",TRUE,"OVER 55")</f>
        <v>45-54</v>
      </c>
    </row>
    <row r="567" spans="1:37"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f t="shared" si="8"/>
        <v>0</v>
      </c>
      <c r="AK567" t="str" cm="1">
        <f t="array" ref="AK567">_xlfn.IFS(A567&lt;25,"UNDER 25",A567&lt;=34,"25-34",A567&lt;=44,"35-44",A567&lt;=54,"45-54",TRUE,"OVER 55")</f>
        <v>UNDER 25</v>
      </c>
    </row>
    <row r="568" spans="1:37"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f t="shared" si="8"/>
        <v>1</v>
      </c>
      <c r="AK568" t="str" cm="1">
        <f t="array" ref="AK568">_xlfn.IFS(A568&lt;25,"UNDER 25",A568&lt;=34,"25-34",A568&lt;=44,"35-44",A568&lt;=54,"45-54",TRUE,"OVER 55")</f>
        <v>45-54</v>
      </c>
    </row>
    <row r="569" spans="1:37"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f t="shared" si="8"/>
        <v>0</v>
      </c>
      <c r="AK569" t="str" cm="1">
        <f t="array" ref="AK569">_xlfn.IFS(A569&lt;25,"UNDER 25",A569&lt;=34,"25-34",A569&lt;=44,"35-44",A569&lt;=54,"45-54",TRUE,"OVER 55")</f>
        <v>25-34</v>
      </c>
    </row>
    <row r="570" spans="1:37"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f t="shared" si="8"/>
        <v>1</v>
      </c>
      <c r="AK570" t="str" cm="1">
        <f t="array" ref="AK570">_xlfn.IFS(A570&lt;25,"UNDER 25",A570&lt;=34,"25-34",A570&lt;=44,"35-44",A570&lt;=54,"45-54",TRUE,"OVER 55")</f>
        <v>OVER 55</v>
      </c>
    </row>
    <row r="571" spans="1:37"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f t="shared" si="8"/>
        <v>0</v>
      </c>
      <c r="AK571" t="str" cm="1">
        <f t="array" ref="AK571">_xlfn.IFS(A571&lt;25,"UNDER 25",A571&lt;=34,"25-34",A571&lt;=44,"35-44",A571&lt;=54,"45-54",TRUE,"OVER 55")</f>
        <v>35-44</v>
      </c>
    </row>
    <row r="572" spans="1:37"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f t="shared" si="8"/>
        <v>0</v>
      </c>
      <c r="AK572" t="str" cm="1">
        <f t="array" ref="AK572">_xlfn.IFS(A572&lt;25,"UNDER 25",A572&lt;=34,"25-34",A572&lt;=44,"35-44",A572&lt;=54,"45-54",TRUE,"OVER 55")</f>
        <v>45-54</v>
      </c>
    </row>
    <row r="573" spans="1:37"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f t="shared" si="8"/>
        <v>0</v>
      </c>
      <c r="AK573" t="str" cm="1">
        <f t="array" ref="AK573">_xlfn.IFS(A573&lt;25,"UNDER 25",A573&lt;=34,"25-34",A573&lt;=44,"35-44",A573&lt;=54,"45-54",TRUE,"OVER 55")</f>
        <v>25-34</v>
      </c>
    </row>
    <row r="574" spans="1:37"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f t="shared" si="8"/>
        <v>0</v>
      </c>
      <c r="AK574" t="str" cm="1">
        <f t="array" ref="AK574">_xlfn.IFS(A574&lt;25,"UNDER 25",A574&lt;=34,"25-34",A574&lt;=44,"35-44",A574&lt;=54,"45-54",TRUE,"OVER 55")</f>
        <v>25-34</v>
      </c>
    </row>
    <row r="575" spans="1:37"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f t="shared" si="8"/>
        <v>1</v>
      </c>
      <c r="AK575" t="str" cm="1">
        <f t="array" ref="AK575">_xlfn.IFS(A575&lt;25,"UNDER 25",A575&lt;=34,"25-34",A575&lt;=44,"35-44",A575&lt;=54,"45-54",TRUE,"OVER 55")</f>
        <v>25-34</v>
      </c>
    </row>
    <row r="576" spans="1:37"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f t="shared" si="8"/>
        <v>0</v>
      </c>
      <c r="AK576" t="str" cm="1">
        <f t="array" ref="AK576">_xlfn.IFS(A576&lt;25,"UNDER 25",A576&lt;=34,"25-34",A576&lt;=44,"35-44",A576&lt;=54,"45-54",TRUE,"OVER 55")</f>
        <v>25-34</v>
      </c>
    </row>
    <row r="577" spans="1:37"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f t="shared" si="8"/>
        <v>0</v>
      </c>
      <c r="AK577" t="str" cm="1">
        <f t="array" ref="AK577">_xlfn.IFS(A577&lt;25,"UNDER 25",A577&lt;=34,"25-34",A577&lt;=44,"35-44",A577&lt;=54,"45-54",TRUE,"OVER 55")</f>
        <v>45-54</v>
      </c>
    </row>
    <row r="578" spans="1:37"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f t="shared" si="8"/>
        <v>0</v>
      </c>
      <c r="AK578" t="str" cm="1">
        <f t="array" ref="AK578">_xlfn.IFS(A578&lt;25,"UNDER 25",A578&lt;=34,"25-34",A578&lt;=44,"35-44",A578&lt;=54,"45-54",TRUE,"OVER 55")</f>
        <v>25-34</v>
      </c>
    </row>
    <row r="579" spans="1:37"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f t="shared" ref="AJ579:AJ642" si="9">IF(B579="yes",1,0)</f>
        <v>0</v>
      </c>
      <c r="AK579" t="str" cm="1">
        <f t="array" ref="AK579">_xlfn.IFS(A579&lt;25,"UNDER 25",A579&lt;=34,"25-34",A579&lt;=44,"35-44",A579&lt;=54,"45-54",TRUE,"OVER 55")</f>
        <v>35-44</v>
      </c>
    </row>
    <row r="580" spans="1:37"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f t="shared" si="9"/>
        <v>0</v>
      </c>
      <c r="AK580" t="str" cm="1">
        <f t="array" ref="AK580">_xlfn.IFS(A580&lt;25,"UNDER 25",A580&lt;=34,"25-34",A580&lt;=44,"35-44",A580&lt;=54,"45-54",TRUE,"OVER 55")</f>
        <v>35-44</v>
      </c>
    </row>
    <row r="581" spans="1:37"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f t="shared" si="9"/>
        <v>0</v>
      </c>
      <c r="AK581" t="str" cm="1">
        <f t="array" ref="AK581">_xlfn.IFS(A581&lt;25,"UNDER 25",A581&lt;=34,"25-34",A581&lt;=44,"35-44",A581&lt;=54,"45-54",TRUE,"OVER 55")</f>
        <v>25-34</v>
      </c>
    </row>
    <row r="582" spans="1:37"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f t="shared" si="9"/>
        <v>0</v>
      </c>
      <c r="AK582" t="str" cm="1">
        <f t="array" ref="AK582">_xlfn.IFS(A582&lt;25,"UNDER 25",A582&lt;=34,"25-34",A582&lt;=44,"35-44",A582&lt;=54,"45-54",TRUE,"OVER 55")</f>
        <v>35-44</v>
      </c>
    </row>
    <row r="583" spans="1:37"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f t="shared" si="9"/>
        <v>0</v>
      </c>
      <c r="AK583" t="str" cm="1">
        <f t="array" ref="AK583">_xlfn.IFS(A583&lt;25,"UNDER 25",A583&lt;=34,"25-34",A583&lt;=44,"35-44",A583&lt;=54,"45-54",TRUE,"OVER 55")</f>
        <v>25-34</v>
      </c>
    </row>
    <row r="584" spans="1:37"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f t="shared" si="9"/>
        <v>0</v>
      </c>
      <c r="AK584" t="str" cm="1">
        <f t="array" ref="AK584">_xlfn.IFS(A584&lt;25,"UNDER 25",A584&lt;=34,"25-34",A584&lt;=44,"35-44",A584&lt;=54,"45-54",TRUE,"OVER 55")</f>
        <v>35-44</v>
      </c>
    </row>
    <row r="585" spans="1:37"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f t="shared" si="9"/>
        <v>0</v>
      </c>
      <c r="AK585" t="str" cm="1">
        <f t="array" ref="AK585">_xlfn.IFS(A585&lt;25,"UNDER 25",A585&lt;=34,"25-34",A585&lt;=44,"35-44",A585&lt;=54,"45-54",TRUE,"OVER 55")</f>
        <v>25-34</v>
      </c>
    </row>
    <row r="586" spans="1:37"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f t="shared" si="9"/>
        <v>0</v>
      </c>
      <c r="AK586" t="str" cm="1">
        <f t="array" ref="AK586">_xlfn.IFS(A586&lt;25,"UNDER 25",A586&lt;=34,"25-34",A586&lt;=44,"35-44",A586&lt;=54,"45-54",TRUE,"OVER 55")</f>
        <v>35-44</v>
      </c>
    </row>
    <row r="587" spans="1:37"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f t="shared" si="9"/>
        <v>1</v>
      </c>
      <c r="AK587" t="str" cm="1">
        <f t="array" ref="AK587">_xlfn.IFS(A587&lt;25,"UNDER 25",A587&lt;=34,"25-34",A587&lt;=44,"35-44",A587&lt;=54,"45-54",TRUE,"OVER 55")</f>
        <v>UNDER 25</v>
      </c>
    </row>
    <row r="588" spans="1:37"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f t="shared" si="9"/>
        <v>0</v>
      </c>
      <c r="AK588" t="str" cm="1">
        <f t="array" ref="AK588">_xlfn.IFS(A588&lt;25,"UNDER 25",A588&lt;=34,"25-34",A588&lt;=44,"35-44",A588&lt;=54,"45-54",TRUE,"OVER 55")</f>
        <v>UNDER 25</v>
      </c>
    </row>
    <row r="589" spans="1:37"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f t="shared" si="9"/>
        <v>0</v>
      </c>
      <c r="AK589" t="str" cm="1">
        <f t="array" ref="AK589">_xlfn.IFS(A589&lt;25,"UNDER 25",A589&lt;=34,"25-34",A589&lt;=44,"35-44",A589&lt;=54,"45-54",TRUE,"OVER 55")</f>
        <v>45-54</v>
      </c>
    </row>
    <row r="590" spans="1:37"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f t="shared" si="9"/>
        <v>0</v>
      </c>
      <c r="AK590" t="str" cm="1">
        <f t="array" ref="AK590">_xlfn.IFS(A590&lt;25,"UNDER 25",A590&lt;=34,"25-34",A590&lt;=44,"35-44",A590&lt;=54,"45-54",TRUE,"OVER 55")</f>
        <v>45-54</v>
      </c>
    </row>
    <row r="591" spans="1:37"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f t="shared" si="9"/>
        <v>1</v>
      </c>
      <c r="AK591" t="str" cm="1">
        <f t="array" ref="AK591">_xlfn.IFS(A591&lt;25,"UNDER 25",A591&lt;=34,"25-34",A591&lt;=44,"35-44",A591&lt;=54,"45-54",TRUE,"OVER 55")</f>
        <v>25-34</v>
      </c>
    </row>
    <row r="592" spans="1:37"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f t="shared" si="9"/>
        <v>0</v>
      </c>
      <c r="AK592" t="str" cm="1">
        <f t="array" ref="AK592">_xlfn.IFS(A592&lt;25,"UNDER 25",A592&lt;=34,"25-34",A592&lt;=44,"35-44",A592&lt;=54,"45-54",TRUE,"OVER 55")</f>
        <v>25-34</v>
      </c>
    </row>
    <row r="593" spans="1:37"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f t="shared" si="9"/>
        <v>1</v>
      </c>
      <c r="AK593" t="str" cm="1">
        <f t="array" ref="AK593">_xlfn.IFS(A593&lt;25,"UNDER 25",A593&lt;=34,"25-34",A593&lt;=44,"35-44",A593&lt;=54,"45-54",TRUE,"OVER 55")</f>
        <v>25-34</v>
      </c>
    </row>
    <row r="594" spans="1:37"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f t="shared" si="9"/>
        <v>0</v>
      </c>
      <c r="AK594" t="str" cm="1">
        <f t="array" ref="AK594">_xlfn.IFS(A594&lt;25,"UNDER 25",A594&lt;=34,"25-34",A594&lt;=44,"35-44",A594&lt;=54,"45-54",TRUE,"OVER 55")</f>
        <v>45-54</v>
      </c>
    </row>
    <row r="595" spans="1:37"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f t="shared" si="9"/>
        <v>0</v>
      </c>
      <c r="AK595" t="str" cm="1">
        <f t="array" ref="AK595">_xlfn.IFS(A595&lt;25,"UNDER 25",A595&lt;=34,"25-34",A595&lt;=44,"35-44",A595&lt;=54,"45-54",TRUE,"OVER 55")</f>
        <v>35-44</v>
      </c>
    </row>
    <row r="596" spans="1:37"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f t="shared" si="9"/>
        <v>0</v>
      </c>
      <c r="AK596" t="str" cm="1">
        <f t="array" ref="AK596">_xlfn.IFS(A596&lt;25,"UNDER 25",A596&lt;=34,"25-34",A596&lt;=44,"35-44",A596&lt;=54,"45-54",TRUE,"OVER 55")</f>
        <v>25-34</v>
      </c>
    </row>
    <row r="597" spans="1:37"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f t="shared" si="9"/>
        <v>1</v>
      </c>
      <c r="AK597" t="str" cm="1">
        <f t="array" ref="AK597">_xlfn.IFS(A597&lt;25,"UNDER 25",A597&lt;=34,"25-34",A597&lt;=44,"35-44",A597&lt;=54,"45-54",TRUE,"OVER 55")</f>
        <v>OVER 55</v>
      </c>
    </row>
    <row r="598" spans="1:37"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f t="shared" si="9"/>
        <v>0</v>
      </c>
      <c r="AK598" t="str" cm="1">
        <f t="array" ref="AK598">_xlfn.IFS(A598&lt;25,"UNDER 25",A598&lt;=34,"25-34",A598&lt;=44,"35-44",A598&lt;=54,"45-54",TRUE,"OVER 55")</f>
        <v>35-44</v>
      </c>
    </row>
    <row r="599" spans="1:37"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f t="shared" si="9"/>
        <v>0</v>
      </c>
      <c r="AK599" t="str" cm="1">
        <f t="array" ref="AK599">_xlfn.IFS(A599&lt;25,"UNDER 25",A599&lt;=34,"25-34",A599&lt;=44,"35-44",A599&lt;=54,"45-54",TRUE,"OVER 55")</f>
        <v>35-44</v>
      </c>
    </row>
    <row r="600" spans="1:37"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f t="shared" si="9"/>
        <v>1</v>
      </c>
      <c r="AK600" t="str" cm="1">
        <f t="array" ref="AK600">_xlfn.IFS(A600&lt;25,"UNDER 25",A600&lt;=34,"25-34",A600&lt;=44,"35-44",A600&lt;=54,"45-54",TRUE,"OVER 55")</f>
        <v>25-34</v>
      </c>
    </row>
    <row r="601" spans="1:37"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f t="shared" si="9"/>
        <v>0</v>
      </c>
      <c r="AK601" t="str" cm="1">
        <f t="array" ref="AK601">_xlfn.IFS(A601&lt;25,"UNDER 25",A601&lt;=34,"25-34",A601&lt;=44,"35-44",A601&lt;=54,"45-54",TRUE,"OVER 55")</f>
        <v>35-44</v>
      </c>
    </row>
    <row r="602" spans="1:37"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f t="shared" si="9"/>
        <v>0</v>
      </c>
      <c r="AK602" t="str" cm="1">
        <f t="array" ref="AK602">_xlfn.IFS(A602&lt;25,"UNDER 25",A602&lt;=34,"25-34",A602&lt;=44,"35-44",A602&lt;=54,"45-54",TRUE,"OVER 55")</f>
        <v>25-34</v>
      </c>
    </row>
    <row r="603" spans="1:37"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f t="shared" si="9"/>
        <v>0</v>
      </c>
      <c r="AK603" t="str" cm="1">
        <f t="array" ref="AK603">_xlfn.IFS(A603&lt;25,"UNDER 25",A603&lt;=34,"25-34",A603&lt;=44,"35-44",A603&lt;=54,"45-54",TRUE,"OVER 55")</f>
        <v>35-44</v>
      </c>
    </row>
    <row r="604" spans="1:37"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f t="shared" si="9"/>
        <v>0</v>
      </c>
      <c r="AK604" t="str" cm="1">
        <f t="array" ref="AK604">_xlfn.IFS(A604&lt;25,"UNDER 25",A604&lt;=34,"25-34",A604&lt;=44,"35-44",A604&lt;=54,"45-54",TRUE,"OVER 55")</f>
        <v>25-34</v>
      </c>
    </row>
    <row r="605" spans="1:37"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f t="shared" si="9"/>
        <v>0</v>
      </c>
      <c r="AK605" t="str" cm="1">
        <f t="array" ref="AK605">_xlfn.IFS(A605&lt;25,"UNDER 25",A605&lt;=34,"25-34",A605&lt;=44,"35-44",A605&lt;=54,"45-54",TRUE,"OVER 55")</f>
        <v>45-54</v>
      </c>
    </row>
    <row r="606" spans="1:37"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f t="shared" si="9"/>
        <v>0</v>
      </c>
      <c r="AK606" t="str" cm="1">
        <f t="array" ref="AK606">_xlfn.IFS(A606&lt;25,"UNDER 25",A606&lt;=34,"25-34",A606&lt;=44,"35-44",A606&lt;=54,"45-54",TRUE,"OVER 55")</f>
        <v>35-44</v>
      </c>
    </row>
    <row r="607" spans="1:37"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f t="shared" si="9"/>
        <v>0</v>
      </c>
      <c r="AK607" t="str" cm="1">
        <f t="array" ref="AK607">_xlfn.IFS(A607&lt;25,"UNDER 25",A607&lt;=34,"25-34",A607&lt;=44,"35-44",A607&lt;=54,"45-54",TRUE,"OVER 55")</f>
        <v>35-44</v>
      </c>
    </row>
    <row r="608" spans="1:37"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f t="shared" si="9"/>
        <v>0</v>
      </c>
      <c r="AK608" t="str" cm="1">
        <f t="array" ref="AK608">_xlfn.IFS(A608&lt;25,"UNDER 25",A608&lt;=34,"25-34",A608&lt;=44,"35-44",A608&lt;=54,"45-54",TRUE,"OVER 55")</f>
        <v>25-34</v>
      </c>
    </row>
    <row r="609" spans="1:37"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f t="shared" si="9"/>
        <v>1</v>
      </c>
      <c r="AK609" t="str" cm="1">
        <f t="array" ref="AK609">_xlfn.IFS(A609&lt;25,"UNDER 25",A609&lt;=34,"25-34",A609&lt;=44,"35-44",A609&lt;=54,"45-54",TRUE,"OVER 55")</f>
        <v>45-54</v>
      </c>
    </row>
    <row r="610" spans="1:37"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f t="shared" si="9"/>
        <v>1</v>
      </c>
      <c r="AK610" t="str" cm="1">
        <f t="array" ref="AK610">_xlfn.IFS(A610&lt;25,"UNDER 25",A610&lt;=34,"25-34",A610&lt;=44,"35-44",A610&lt;=54,"45-54",TRUE,"OVER 55")</f>
        <v>OVER 55</v>
      </c>
    </row>
    <row r="611" spans="1:37"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f t="shared" si="9"/>
        <v>0</v>
      </c>
      <c r="AK611" t="str" cm="1">
        <f t="array" ref="AK611">_xlfn.IFS(A611&lt;25,"UNDER 25",A611&lt;=34,"25-34",A611&lt;=44,"35-44",A611&lt;=54,"45-54",TRUE,"OVER 55")</f>
        <v>35-44</v>
      </c>
    </row>
    <row r="612" spans="1:37"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f t="shared" si="9"/>
        <v>0</v>
      </c>
      <c r="AK612" t="str" cm="1">
        <f t="array" ref="AK612">_xlfn.IFS(A612&lt;25,"UNDER 25",A612&lt;=34,"25-34",A612&lt;=44,"35-44",A612&lt;=54,"45-54",TRUE,"OVER 55")</f>
        <v>25-34</v>
      </c>
    </row>
    <row r="613" spans="1:37"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f t="shared" si="9"/>
        <v>0</v>
      </c>
      <c r="AK613" t="str" cm="1">
        <f t="array" ref="AK613">_xlfn.IFS(A613&lt;25,"UNDER 25",A613&lt;=34,"25-34",A613&lt;=44,"35-44",A613&lt;=54,"45-54",TRUE,"OVER 55")</f>
        <v>35-44</v>
      </c>
    </row>
    <row r="614" spans="1:37"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f t="shared" si="9"/>
        <v>0</v>
      </c>
      <c r="AK614" t="str" cm="1">
        <f t="array" ref="AK614">_xlfn.IFS(A614&lt;25,"UNDER 25",A614&lt;=34,"25-34",A614&lt;=44,"35-44",A614&lt;=54,"45-54",TRUE,"OVER 55")</f>
        <v>25-34</v>
      </c>
    </row>
    <row r="615" spans="1:37"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f t="shared" si="9"/>
        <v>0</v>
      </c>
      <c r="AK615" t="str" cm="1">
        <f t="array" ref="AK615">_xlfn.IFS(A615&lt;25,"UNDER 25",A615&lt;=34,"25-34",A615&lt;=44,"35-44",A615&lt;=54,"45-54",TRUE,"OVER 55")</f>
        <v>25-34</v>
      </c>
    </row>
    <row r="616" spans="1:37"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f t="shared" si="9"/>
        <v>1</v>
      </c>
      <c r="AK616" t="str" cm="1">
        <f t="array" ref="AK616">_xlfn.IFS(A616&lt;25,"UNDER 25",A616&lt;=34,"25-34",A616&lt;=44,"35-44",A616&lt;=54,"45-54",TRUE,"OVER 55")</f>
        <v>25-34</v>
      </c>
    </row>
    <row r="617" spans="1:37"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f t="shared" si="9"/>
        <v>0</v>
      </c>
      <c r="AK617" t="str" cm="1">
        <f t="array" ref="AK617">_xlfn.IFS(A617&lt;25,"UNDER 25",A617&lt;=34,"25-34",A617&lt;=44,"35-44",A617&lt;=54,"45-54",TRUE,"OVER 55")</f>
        <v>25-34</v>
      </c>
    </row>
    <row r="618" spans="1:37"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f t="shared" si="9"/>
        <v>0</v>
      </c>
      <c r="AK618" t="str" cm="1">
        <f t="array" ref="AK618">_xlfn.IFS(A618&lt;25,"UNDER 25",A618&lt;=34,"25-34",A618&lt;=44,"35-44",A618&lt;=54,"45-54",TRUE,"OVER 55")</f>
        <v>45-54</v>
      </c>
    </row>
    <row r="619" spans="1:37"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f t="shared" si="9"/>
        <v>0</v>
      </c>
      <c r="AK619" t="str" cm="1">
        <f t="array" ref="AK619">_xlfn.IFS(A619&lt;25,"UNDER 25",A619&lt;=34,"25-34",A619&lt;=44,"35-44",A619&lt;=54,"45-54",TRUE,"OVER 55")</f>
        <v>35-44</v>
      </c>
    </row>
    <row r="620" spans="1:37"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f t="shared" si="9"/>
        <v>0</v>
      </c>
      <c r="AK620" t="str" cm="1">
        <f t="array" ref="AK620">_xlfn.IFS(A620&lt;25,"UNDER 25",A620&lt;=34,"25-34",A620&lt;=44,"35-44",A620&lt;=54,"45-54",TRUE,"OVER 55")</f>
        <v>25-34</v>
      </c>
    </row>
    <row r="621" spans="1:37"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f t="shared" si="9"/>
        <v>0</v>
      </c>
      <c r="AK621" t="str" cm="1">
        <f t="array" ref="AK621">_xlfn.IFS(A621&lt;25,"UNDER 25",A621&lt;=34,"25-34",A621&lt;=44,"35-44",A621&lt;=54,"45-54",TRUE,"OVER 55")</f>
        <v>25-34</v>
      </c>
    </row>
    <row r="622" spans="1:37"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f t="shared" si="9"/>
        <v>0</v>
      </c>
      <c r="AK622" t="str" cm="1">
        <f t="array" ref="AK622">_xlfn.IFS(A622&lt;25,"UNDER 25",A622&lt;=34,"25-34",A622&lt;=44,"35-44",A622&lt;=54,"45-54",TRUE,"OVER 55")</f>
        <v>35-44</v>
      </c>
    </row>
    <row r="623" spans="1:37"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f t="shared" si="9"/>
        <v>0</v>
      </c>
      <c r="AK623" t="str" cm="1">
        <f t="array" ref="AK623">_xlfn.IFS(A623&lt;25,"UNDER 25",A623&lt;=34,"25-34",A623&lt;=44,"35-44",A623&lt;=54,"45-54",TRUE,"OVER 55")</f>
        <v>35-44</v>
      </c>
    </row>
    <row r="624" spans="1:37"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f t="shared" si="9"/>
        <v>0</v>
      </c>
      <c r="AK624" t="str" cm="1">
        <f t="array" ref="AK624">_xlfn.IFS(A624&lt;25,"UNDER 25",A624&lt;=34,"25-34",A624&lt;=44,"35-44",A624&lt;=54,"45-54",TRUE,"OVER 55")</f>
        <v>25-34</v>
      </c>
    </row>
    <row r="625" spans="1:37"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f t="shared" si="9"/>
        <v>0</v>
      </c>
      <c r="AK625" t="str" cm="1">
        <f t="array" ref="AK625">_xlfn.IFS(A625&lt;25,"UNDER 25",A625&lt;=34,"25-34",A625&lt;=44,"35-44",A625&lt;=54,"45-54",TRUE,"OVER 55")</f>
        <v>25-34</v>
      </c>
    </row>
    <row r="626" spans="1:37"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f t="shared" si="9"/>
        <v>0</v>
      </c>
      <c r="AK626" t="str" cm="1">
        <f t="array" ref="AK626">_xlfn.IFS(A626&lt;25,"UNDER 25",A626&lt;=34,"25-34",A626&lt;=44,"35-44",A626&lt;=54,"45-54",TRUE,"OVER 55")</f>
        <v>45-54</v>
      </c>
    </row>
    <row r="627" spans="1:37"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f t="shared" si="9"/>
        <v>0</v>
      </c>
      <c r="AK627" t="str" cm="1">
        <f t="array" ref="AK627">_xlfn.IFS(A627&lt;25,"UNDER 25",A627&lt;=34,"25-34",A627&lt;=44,"35-44",A627&lt;=54,"45-54",TRUE,"OVER 55")</f>
        <v>45-54</v>
      </c>
    </row>
    <row r="628" spans="1:37"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f t="shared" si="9"/>
        <v>0</v>
      </c>
      <c r="AK628" t="str" cm="1">
        <f t="array" ref="AK628">_xlfn.IFS(A628&lt;25,"UNDER 25",A628&lt;=34,"25-34",A628&lt;=44,"35-44",A628&lt;=54,"45-54",TRUE,"OVER 55")</f>
        <v>25-34</v>
      </c>
    </row>
    <row r="629" spans="1:37"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f t="shared" si="9"/>
        <v>0</v>
      </c>
      <c r="AK629" t="str" cm="1">
        <f t="array" ref="AK629">_xlfn.IFS(A629&lt;25,"UNDER 25",A629&lt;=34,"25-34",A629&lt;=44,"35-44",A629&lt;=54,"45-54",TRUE,"OVER 55")</f>
        <v>45-54</v>
      </c>
    </row>
    <row r="630" spans="1:37"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f t="shared" si="9"/>
        <v>0</v>
      </c>
      <c r="AK630" t="str" cm="1">
        <f t="array" ref="AK630">_xlfn.IFS(A630&lt;25,"UNDER 25",A630&lt;=34,"25-34",A630&lt;=44,"35-44",A630&lt;=54,"45-54",TRUE,"OVER 55")</f>
        <v>35-44</v>
      </c>
    </row>
    <row r="631" spans="1:37"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f t="shared" si="9"/>
        <v>0</v>
      </c>
      <c r="AK631" t="str" cm="1">
        <f t="array" ref="AK631">_xlfn.IFS(A631&lt;25,"UNDER 25",A631&lt;=34,"25-34",A631&lt;=44,"35-44",A631&lt;=54,"45-54",TRUE,"OVER 55")</f>
        <v>25-34</v>
      </c>
    </row>
    <row r="632" spans="1:37"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f t="shared" si="9"/>
        <v>0</v>
      </c>
      <c r="AK632" t="str" cm="1">
        <f t="array" ref="AK632">_xlfn.IFS(A632&lt;25,"UNDER 25",A632&lt;=34,"25-34",A632&lt;=44,"35-44",A632&lt;=54,"45-54",TRUE,"OVER 55")</f>
        <v>UNDER 25</v>
      </c>
    </row>
    <row r="633" spans="1:37"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f t="shared" si="9"/>
        <v>0</v>
      </c>
      <c r="AK633" t="str" cm="1">
        <f t="array" ref="AK633">_xlfn.IFS(A633&lt;25,"UNDER 25",A633&lt;=34,"25-34",A633&lt;=44,"35-44",A633&lt;=54,"45-54",TRUE,"OVER 55")</f>
        <v>35-44</v>
      </c>
    </row>
    <row r="634" spans="1:37"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f t="shared" si="9"/>
        <v>0</v>
      </c>
      <c r="AK634" t="str" cm="1">
        <f t="array" ref="AK634">_xlfn.IFS(A634&lt;25,"UNDER 25",A634&lt;=34,"25-34",A634&lt;=44,"35-44",A634&lt;=54,"45-54",TRUE,"OVER 55")</f>
        <v>35-44</v>
      </c>
    </row>
    <row r="635" spans="1:37"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f t="shared" si="9"/>
        <v>0</v>
      </c>
      <c r="AK635" t="str" cm="1">
        <f t="array" ref="AK635">_xlfn.IFS(A635&lt;25,"UNDER 25",A635&lt;=34,"25-34",A635&lt;=44,"35-44",A635&lt;=54,"45-54",TRUE,"OVER 55")</f>
        <v>35-44</v>
      </c>
    </row>
    <row r="636" spans="1:37"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f t="shared" si="9"/>
        <v>0</v>
      </c>
      <c r="AK636" t="str" cm="1">
        <f t="array" ref="AK636">_xlfn.IFS(A636&lt;25,"UNDER 25",A636&lt;=34,"25-34",A636&lt;=44,"35-44",A636&lt;=54,"45-54",TRUE,"OVER 55")</f>
        <v>25-34</v>
      </c>
    </row>
    <row r="637" spans="1:37"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f t="shared" si="9"/>
        <v>0</v>
      </c>
      <c r="AK637" t="str" cm="1">
        <f t="array" ref="AK637">_xlfn.IFS(A637&lt;25,"UNDER 25",A637&lt;=34,"25-34",A637&lt;=44,"35-44",A637&lt;=54,"45-54",TRUE,"OVER 55")</f>
        <v>35-44</v>
      </c>
    </row>
    <row r="638" spans="1:37"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f t="shared" si="9"/>
        <v>1</v>
      </c>
      <c r="AK638" t="str" cm="1">
        <f t="array" ref="AK638">_xlfn.IFS(A638&lt;25,"UNDER 25",A638&lt;=34,"25-34",A638&lt;=44,"35-44",A638&lt;=54,"45-54",TRUE,"OVER 55")</f>
        <v>35-44</v>
      </c>
    </row>
    <row r="639" spans="1:37"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f t="shared" si="9"/>
        <v>0</v>
      </c>
      <c r="AK639" t="str" cm="1">
        <f t="array" ref="AK639">_xlfn.IFS(A639&lt;25,"UNDER 25",A639&lt;=34,"25-34",A639&lt;=44,"35-44",A639&lt;=54,"45-54",TRUE,"OVER 55")</f>
        <v>25-34</v>
      </c>
    </row>
    <row r="640" spans="1:37"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f t="shared" si="9"/>
        <v>0</v>
      </c>
      <c r="AK640" t="str" cm="1">
        <f t="array" ref="AK640">_xlfn.IFS(A640&lt;25,"UNDER 25",A640&lt;=34,"25-34",A640&lt;=44,"35-44",A640&lt;=54,"45-54",TRUE,"OVER 55")</f>
        <v>25-34</v>
      </c>
    </row>
    <row r="641" spans="1:37"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f t="shared" si="9"/>
        <v>0</v>
      </c>
      <c r="AK641" t="str" cm="1">
        <f t="array" ref="AK641">_xlfn.IFS(A641&lt;25,"UNDER 25",A641&lt;=34,"25-34",A641&lt;=44,"35-44",A641&lt;=54,"45-54",TRUE,"OVER 55")</f>
        <v>45-54</v>
      </c>
    </row>
    <row r="642" spans="1:37"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f t="shared" si="9"/>
        <v>0</v>
      </c>
      <c r="AK642" t="str" cm="1">
        <f t="array" ref="AK642">_xlfn.IFS(A642&lt;25,"UNDER 25",A642&lt;=34,"25-34",A642&lt;=44,"35-44",A642&lt;=54,"45-54",TRUE,"OVER 55")</f>
        <v>UNDER 25</v>
      </c>
    </row>
    <row r="643" spans="1:37"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f t="shared" ref="AJ643:AJ706" si="10">IF(B643="yes",1,0)</f>
        <v>0</v>
      </c>
      <c r="AK643" t="str" cm="1">
        <f t="array" ref="AK643">_xlfn.IFS(A643&lt;25,"UNDER 25",A643&lt;=34,"25-34",A643&lt;=44,"35-44",A643&lt;=54,"45-54",TRUE,"OVER 55")</f>
        <v>25-34</v>
      </c>
    </row>
    <row r="644" spans="1:37"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f t="shared" si="10"/>
        <v>0</v>
      </c>
      <c r="AK644" t="str" cm="1">
        <f t="array" ref="AK644">_xlfn.IFS(A644&lt;25,"UNDER 25",A644&lt;=34,"25-34",A644&lt;=44,"35-44",A644&lt;=54,"45-54",TRUE,"OVER 55")</f>
        <v>35-44</v>
      </c>
    </row>
    <row r="645" spans="1:37"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f t="shared" si="10"/>
        <v>0</v>
      </c>
      <c r="AK645" t="str" cm="1">
        <f t="array" ref="AK645">_xlfn.IFS(A645&lt;25,"UNDER 25",A645&lt;=34,"25-34",A645&lt;=44,"35-44",A645&lt;=54,"45-54",TRUE,"OVER 55")</f>
        <v>35-44</v>
      </c>
    </row>
    <row r="646" spans="1:37"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f t="shared" si="10"/>
        <v>0</v>
      </c>
      <c r="AK646" t="str" cm="1">
        <f t="array" ref="AK646">_xlfn.IFS(A646&lt;25,"UNDER 25",A646&lt;=34,"25-34",A646&lt;=44,"35-44",A646&lt;=54,"45-54",TRUE,"OVER 55")</f>
        <v>25-34</v>
      </c>
    </row>
    <row r="647" spans="1:37"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f t="shared" si="10"/>
        <v>1</v>
      </c>
      <c r="AK647" t="str" cm="1">
        <f t="array" ref="AK647">_xlfn.IFS(A647&lt;25,"UNDER 25",A647&lt;=34,"25-34",A647&lt;=44,"35-44",A647&lt;=54,"45-54",TRUE,"OVER 55")</f>
        <v>25-34</v>
      </c>
    </row>
    <row r="648" spans="1:37"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f t="shared" si="10"/>
        <v>0</v>
      </c>
      <c r="AK648" t="str" cm="1">
        <f t="array" ref="AK648">_xlfn.IFS(A648&lt;25,"UNDER 25",A648&lt;=34,"25-34",A648&lt;=44,"35-44",A648&lt;=54,"45-54",TRUE,"OVER 55")</f>
        <v>45-54</v>
      </c>
    </row>
    <row r="649" spans="1:37"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f t="shared" si="10"/>
        <v>0</v>
      </c>
      <c r="AK649" t="str" cm="1">
        <f t="array" ref="AK649">_xlfn.IFS(A649&lt;25,"UNDER 25",A649&lt;=34,"25-34",A649&lt;=44,"35-44",A649&lt;=54,"45-54",TRUE,"OVER 55")</f>
        <v>35-44</v>
      </c>
    </row>
    <row r="650" spans="1:37"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f t="shared" si="10"/>
        <v>0</v>
      </c>
      <c r="AK650" t="str" cm="1">
        <f t="array" ref="AK650">_xlfn.IFS(A650&lt;25,"UNDER 25",A650&lt;=34,"25-34",A650&lt;=44,"35-44",A650&lt;=54,"45-54",TRUE,"OVER 55")</f>
        <v>35-44</v>
      </c>
    </row>
    <row r="651" spans="1:37"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f t="shared" si="10"/>
        <v>0</v>
      </c>
      <c r="AK651" t="str" cm="1">
        <f t="array" ref="AK651">_xlfn.IFS(A651&lt;25,"UNDER 25",A651&lt;=34,"25-34",A651&lt;=44,"35-44",A651&lt;=54,"45-54",TRUE,"OVER 55")</f>
        <v>45-54</v>
      </c>
    </row>
    <row r="652" spans="1:37"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f t="shared" si="10"/>
        <v>0</v>
      </c>
      <c r="AK652" t="str" cm="1">
        <f t="array" ref="AK652">_xlfn.IFS(A652&lt;25,"UNDER 25",A652&lt;=34,"25-34",A652&lt;=44,"35-44",A652&lt;=54,"45-54",TRUE,"OVER 55")</f>
        <v>35-44</v>
      </c>
    </row>
    <row r="653" spans="1:37"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f t="shared" si="10"/>
        <v>0</v>
      </c>
      <c r="AK653" t="str" cm="1">
        <f t="array" ref="AK653">_xlfn.IFS(A653&lt;25,"UNDER 25",A653&lt;=34,"25-34",A653&lt;=44,"35-44",A653&lt;=54,"45-54",TRUE,"OVER 55")</f>
        <v>45-54</v>
      </c>
    </row>
    <row r="654" spans="1:37"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f t="shared" si="10"/>
        <v>0</v>
      </c>
      <c r="AK654" t="str" cm="1">
        <f t="array" ref="AK654">_xlfn.IFS(A654&lt;25,"UNDER 25",A654&lt;=34,"25-34",A654&lt;=44,"35-44",A654&lt;=54,"45-54",TRUE,"OVER 55")</f>
        <v>35-44</v>
      </c>
    </row>
    <row r="655" spans="1:37"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f t="shared" si="10"/>
        <v>0</v>
      </c>
      <c r="AK655" t="str" cm="1">
        <f t="array" ref="AK655">_xlfn.IFS(A655&lt;25,"UNDER 25",A655&lt;=34,"25-34",A655&lt;=44,"35-44",A655&lt;=54,"45-54",TRUE,"OVER 55")</f>
        <v>45-54</v>
      </c>
    </row>
    <row r="656" spans="1:37"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f t="shared" si="10"/>
        <v>0</v>
      </c>
      <c r="AK656" t="str" cm="1">
        <f t="array" ref="AK656">_xlfn.IFS(A656&lt;25,"UNDER 25",A656&lt;=34,"25-34",A656&lt;=44,"35-44",A656&lt;=54,"45-54",TRUE,"OVER 55")</f>
        <v>35-44</v>
      </c>
    </row>
    <row r="657" spans="1:37"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f t="shared" si="10"/>
        <v>0</v>
      </c>
      <c r="AK657" t="str" cm="1">
        <f t="array" ref="AK657">_xlfn.IFS(A657&lt;25,"UNDER 25",A657&lt;=34,"25-34",A657&lt;=44,"35-44",A657&lt;=54,"45-54",TRUE,"OVER 55")</f>
        <v>25-34</v>
      </c>
    </row>
    <row r="658" spans="1:37"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f t="shared" si="10"/>
        <v>1</v>
      </c>
      <c r="AK658" t="str" cm="1">
        <f t="array" ref="AK658">_xlfn.IFS(A658&lt;25,"UNDER 25",A658&lt;=34,"25-34",A658&lt;=44,"35-44",A658&lt;=54,"45-54",TRUE,"OVER 55")</f>
        <v>25-34</v>
      </c>
    </row>
    <row r="659" spans="1:37"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f t="shared" si="10"/>
        <v>0</v>
      </c>
      <c r="AK659" t="str" cm="1">
        <f t="array" ref="AK659">_xlfn.IFS(A659&lt;25,"UNDER 25",A659&lt;=34,"25-34",A659&lt;=44,"35-44",A659&lt;=54,"45-54",TRUE,"OVER 55")</f>
        <v>25-34</v>
      </c>
    </row>
    <row r="660" spans="1:37"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f t="shared" si="10"/>
        <v>0</v>
      </c>
      <c r="AK660" t="str" cm="1">
        <f t="array" ref="AK660">_xlfn.IFS(A660&lt;25,"UNDER 25",A660&lt;=34,"25-34",A660&lt;=44,"35-44",A660&lt;=54,"45-54",TRUE,"OVER 55")</f>
        <v>35-44</v>
      </c>
    </row>
    <row r="661" spans="1:37"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f t="shared" si="10"/>
        <v>0</v>
      </c>
      <c r="AK661" t="str" cm="1">
        <f t="array" ref="AK661">_xlfn.IFS(A661&lt;25,"UNDER 25",A661&lt;=34,"25-34",A661&lt;=44,"35-44",A661&lt;=54,"45-54",TRUE,"OVER 55")</f>
        <v>25-34</v>
      </c>
    </row>
    <row r="662" spans="1:37"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f t="shared" si="10"/>
        <v>1</v>
      </c>
      <c r="AK662" t="str" cm="1">
        <f t="array" ref="AK662">_xlfn.IFS(A662&lt;25,"UNDER 25",A662&lt;=34,"25-34",A662&lt;=44,"35-44",A662&lt;=54,"45-54",TRUE,"OVER 55")</f>
        <v>OVER 55</v>
      </c>
    </row>
    <row r="663" spans="1:37"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f t="shared" si="10"/>
        <v>0</v>
      </c>
      <c r="AK663" t="str" cm="1">
        <f t="array" ref="AK663">_xlfn.IFS(A663&lt;25,"UNDER 25",A663&lt;=34,"25-34",A663&lt;=44,"35-44",A663&lt;=54,"45-54",TRUE,"OVER 55")</f>
        <v>35-44</v>
      </c>
    </row>
    <row r="664" spans="1:37"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f t="shared" si="10"/>
        <v>1</v>
      </c>
      <c r="AK664" t="str" cm="1">
        <f t="array" ref="AK664">_xlfn.IFS(A664&lt;25,"UNDER 25",A664&lt;=34,"25-34",A664&lt;=44,"35-44",A664&lt;=54,"45-54",TRUE,"OVER 55")</f>
        <v>UNDER 25</v>
      </c>
    </row>
    <row r="665" spans="1:37"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f t="shared" si="10"/>
        <v>1</v>
      </c>
      <c r="AK665" t="str" cm="1">
        <f t="array" ref="AK665">_xlfn.IFS(A665&lt;25,"UNDER 25",A665&lt;=34,"25-34",A665&lt;=44,"35-44",A665&lt;=54,"45-54",TRUE,"OVER 55")</f>
        <v>UNDER 25</v>
      </c>
    </row>
    <row r="666" spans="1:37"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f t="shared" si="10"/>
        <v>0</v>
      </c>
      <c r="AK666" t="str" cm="1">
        <f t="array" ref="AK666">_xlfn.IFS(A666&lt;25,"UNDER 25",A666&lt;=34,"25-34",A666&lt;=44,"35-44",A666&lt;=54,"45-54",TRUE,"OVER 55")</f>
        <v>35-44</v>
      </c>
    </row>
    <row r="667" spans="1:37"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f t="shared" si="10"/>
        <v>0</v>
      </c>
      <c r="AK667" t="str" cm="1">
        <f t="array" ref="AK667">_xlfn.IFS(A667&lt;25,"UNDER 25",A667&lt;=34,"25-34",A667&lt;=44,"35-44",A667&lt;=54,"45-54",TRUE,"OVER 55")</f>
        <v>45-54</v>
      </c>
    </row>
    <row r="668" spans="1:37"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f t="shared" si="10"/>
        <v>1</v>
      </c>
      <c r="AK668" t="str" cm="1">
        <f t="array" ref="AK668">_xlfn.IFS(A668&lt;25,"UNDER 25",A668&lt;=34,"25-34",A668&lt;=44,"35-44",A668&lt;=54,"45-54",TRUE,"OVER 55")</f>
        <v>UNDER 25</v>
      </c>
    </row>
    <row r="669" spans="1:37"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f t="shared" si="10"/>
        <v>1</v>
      </c>
      <c r="AK669" t="str" cm="1">
        <f t="array" ref="AK669">_xlfn.IFS(A669&lt;25,"UNDER 25",A669&lt;=34,"25-34",A669&lt;=44,"35-44",A669&lt;=54,"45-54",TRUE,"OVER 55")</f>
        <v>35-44</v>
      </c>
    </row>
    <row r="670" spans="1:37"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f t="shared" si="10"/>
        <v>0</v>
      </c>
      <c r="AK670" t="str" cm="1">
        <f t="array" ref="AK670">_xlfn.IFS(A670&lt;25,"UNDER 25",A670&lt;=34,"25-34",A670&lt;=44,"35-44",A670&lt;=54,"45-54",TRUE,"OVER 55")</f>
        <v>25-34</v>
      </c>
    </row>
    <row r="671" spans="1:37"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f t="shared" si="10"/>
        <v>1</v>
      </c>
      <c r="AK671" t="str" cm="1">
        <f t="array" ref="AK671">_xlfn.IFS(A671&lt;25,"UNDER 25",A671&lt;=34,"25-34",A671&lt;=44,"35-44",A671&lt;=54,"45-54",TRUE,"OVER 55")</f>
        <v>35-44</v>
      </c>
    </row>
    <row r="672" spans="1:37"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f t="shared" si="10"/>
        <v>0</v>
      </c>
      <c r="AK672" t="str" cm="1">
        <f t="array" ref="AK672">_xlfn.IFS(A672&lt;25,"UNDER 25",A672&lt;=34,"25-34",A672&lt;=44,"35-44",A672&lt;=54,"45-54",TRUE,"OVER 55")</f>
        <v>25-34</v>
      </c>
    </row>
    <row r="673" spans="1:37"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f t="shared" si="10"/>
        <v>0</v>
      </c>
      <c r="AK673" t="str" cm="1">
        <f t="array" ref="AK673">_xlfn.IFS(A673&lt;25,"UNDER 25",A673&lt;=34,"25-34",A673&lt;=44,"35-44",A673&lt;=54,"45-54",TRUE,"OVER 55")</f>
        <v>25-34</v>
      </c>
    </row>
    <row r="674" spans="1:37"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f t="shared" si="10"/>
        <v>0</v>
      </c>
      <c r="AK674" t="str" cm="1">
        <f t="array" ref="AK674">_xlfn.IFS(A674&lt;25,"UNDER 25",A674&lt;=34,"25-34",A674&lt;=44,"35-44",A674&lt;=54,"45-54",TRUE,"OVER 55")</f>
        <v>35-44</v>
      </c>
    </row>
    <row r="675" spans="1:37"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f t="shared" si="10"/>
        <v>0</v>
      </c>
      <c r="AK675" t="str" cm="1">
        <f t="array" ref="AK675">_xlfn.IFS(A675&lt;25,"UNDER 25",A675&lt;=34,"25-34",A675&lt;=44,"35-44",A675&lt;=54,"45-54",TRUE,"OVER 55")</f>
        <v>25-34</v>
      </c>
    </row>
    <row r="676" spans="1:37"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f t="shared" si="10"/>
        <v>0</v>
      </c>
      <c r="AK676" t="str" cm="1">
        <f t="array" ref="AK676">_xlfn.IFS(A676&lt;25,"UNDER 25",A676&lt;=34,"25-34",A676&lt;=44,"35-44",A676&lt;=54,"45-54",TRUE,"OVER 55")</f>
        <v>OVER 55</v>
      </c>
    </row>
    <row r="677" spans="1:37"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f t="shared" si="10"/>
        <v>0</v>
      </c>
      <c r="AK677" t="str" cm="1">
        <f t="array" ref="AK677">_xlfn.IFS(A677&lt;25,"UNDER 25",A677&lt;=34,"25-34",A677&lt;=44,"35-44",A677&lt;=54,"45-54",TRUE,"OVER 55")</f>
        <v>25-34</v>
      </c>
    </row>
    <row r="678" spans="1:37"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f t="shared" si="10"/>
        <v>0</v>
      </c>
      <c r="AK678" t="str" cm="1">
        <f t="array" ref="AK678">_xlfn.IFS(A678&lt;25,"UNDER 25",A678&lt;=34,"25-34",A678&lt;=44,"35-44",A678&lt;=54,"45-54",TRUE,"OVER 55")</f>
        <v>35-44</v>
      </c>
    </row>
    <row r="679" spans="1:37"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f t="shared" si="10"/>
        <v>0</v>
      </c>
      <c r="AK679" t="str" cm="1">
        <f t="array" ref="AK679">_xlfn.IFS(A679&lt;25,"UNDER 25",A679&lt;=34,"25-34",A679&lt;=44,"35-44",A679&lt;=54,"45-54",TRUE,"OVER 55")</f>
        <v>45-54</v>
      </c>
    </row>
    <row r="680" spans="1:37"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f t="shared" si="10"/>
        <v>0</v>
      </c>
      <c r="AK680" t="str" cm="1">
        <f t="array" ref="AK680">_xlfn.IFS(A680&lt;25,"UNDER 25",A680&lt;=34,"25-34",A680&lt;=44,"35-44",A680&lt;=54,"45-54",TRUE,"OVER 55")</f>
        <v>45-54</v>
      </c>
    </row>
    <row r="681" spans="1:37"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f t="shared" si="10"/>
        <v>0</v>
      </c>
      <c r="AK681" t="str" cm="1">
        <f t="array" ref="AK681">_xlfn.IFS(A681&lt;25,"UNDER 25",A681&lt;=34,"25-34",A681&lt;=44,"35-44",A681&lt;=54,"45-54",TRUE,"OVER 55")</f>
        <v>25-34</v>
      </c>
    </row>
    <row r="682" spans="1:37"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f t="shared" si="10"/>
        <v>0</v>
      </c>
      <c r="AK682" t="str" cm="1">
        <f t="array" ref="AK682">_xlfn.IFS(A682&lt;25,"UNDER 25",A682&lt;=34,"25-34",A682&lt;=44,"35-44",A682&lt;=54,"45-54",TRUE,"OVER 55")</f>
        <v>35-44</v>
      </c>
    </row>
    <row r="683" spans="1:37"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f t="shared" si="10"/>
        <v>0</v>
      </c>
      <c r="AK683" t="str" cm="1">
        <f t="array" ref="AK683">_xlfn.IFS(A683&lt;25,"UNDER 25",A683&lt;=34,"25-34",A683&lt;=44,"35-44",A683&lt;=54,"45-54",TRUE,"OVER 55")</f>
        <v>35-44</v>
      </c>
    </row>
    <row r="684" spans="1:37"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f t="shared" si="10"/>
        <v>0</v>
      </c>
      <c r="AK684" t="str" cm="1">
        <f t="array" ref="AK684">_xlfn.IFS(A684&lt;25,"UNDER 25",A684&lt;=34,"25-34",A684&lt;=44,"35-44",A684&lt;=54,"45-54",TRUE,"OVER 55")</f>
        <v>25-34</v>
      </c>
    </row>
    <row r="685" spans="1:37"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f t="shared" si="10"/>
        <v>1</v>
      </c>
      <c r="AK685" t="str" cm="1">
        <f t="array" ref="AK685">_xlfn.IFS(A685&lt;25,"UNDER 25",A685&lt;=34,"25-34",A685&lt;=44,"35-44",A685&lt;=54,"45-54",TRUE,"OVER 55")</f>
        <v>25-34</v>
      </c>
    </row>
    <row r="686" spans="1:37"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f t="shared" si="10"/>
        <v>0</v>
      </c>
      <c r="AK686" t="str" cm="1">
        <f t="array" ref="AK686">_xlfn.IFS(A686&lt;25,"UNDER 25",A686&lt;=34,"25-34",A686&lt;=44,"35-44",A686&lt;=54,"45-54",TRUE,"OVER 55")</f>
        <v>35-44</v>
      </c>
    </row>
    <row r="687" spans="1:37"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f t="shared" si="10"/>
        <v>0</v>
      </c>
      <c r="AK687" t="str" cm="1">
        <f t="array" ref="AK687">_xlfn.IFS(A687&lt;25,"UNDER 25",A687&lt;=34,"25-34",A687&lt;=44,"35-44",A687&lt;=54,"45-54",TRUE,"OVER 55")</f>
        <v>25-34</v>
      </c>
    </row>
    <row r="688" spans="1:37"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f t="shared" si="10"/>
        <v>0</v>
      </c>
      <c r="AK688" t="str" cm="1">
        <f t="array" ref="AK688">_xlfn.IFS(A688&lt;25,"UNDER 25",A688&lt;=34,"25-34",A688&lt;=44,"35-44",A688&lt;=54,"45-54",TRUE,"OVER 55")</f>
        <v>35-44</v>
      </c>
    </row>
    <row r="689" spans="1:37"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f t="shared" si="10"/>
        <v>0</v>
      </c>
      <c r="AK689" t="str" cm="1">
        <f t="array" ref="AK689">_xlfn.IFS(A689&lt;25,"UNDER 25",A689&lt;=34,"25-34",A689&lt;=44,"35-44",A689&lt;=54,"45-54",TRUE,"OVER 55")</f>
        <v>35-44</v>
      </c>
    </row>
    <row r="690" spans="1:37"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f t="shared" si="10"/>
        <v>1</v>
      </c>
      <c r="AK690" t="str" cm="1">
        <f t="array" ref="AK690">_xlfn.IFS(A690&lt;25,"UNDER 25",A690&lt;=34,"25-34",A690&lt;=44,"35-44",A690&lt;=54,"45-54",TRUE,"OVER 55")</f>
        <v>UNDER 25</v>
      </c>
    </row>
    <row r="691" spans="1:37"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f t="shared" si="10"/>
        <v>1</v>
      </c>
      <c r="AK691" t="str" cm="1">
        <f t="array" ref="AK691">_xlfn.IFS(A691&lt;25,"UNDER 25",A691&lt;=34,"25-34",A691&lt;=44,"35-44",A691&lt;=54,"45-54",TRUE,"OVER 55")</f>
        <v>UNDER 25</v>
      </c>
    </row>
    <row r="692" spans="1:37"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f t="shared" si="10"/>
        <v>0</v>
      </c>
      <c r="AK692" t="str" cm="1">
        <f t="array" ref="AK692">_xlfn.IFS(A692&lt;25,"UNDER 25",A692&lt;=34,"25-34",A692&lt;=44,"35-44",A692&lt;=54,"45-54",TRUE,"OVER 55")</f>
        <v>25-34</v>
      </c>
    </row>
    <row r="693" spans="1:37"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f t="shared" si="10"/>
        <v>0</v>
      </c>
      <c r="AK693" t="str" cm="1">
        <f t="array" ref="AK693">_xlfn.IFS(A693&lt;25,"UNDER 25",A693&lt;=34,"25-34",A693&lt;=44,"35-44",A693&lt;=54,"45-54",TRUE,"OVER 55")</f>
        <v>35-44</v>
      </c>
    </row>
    <row r="694" spans="1:37"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f t="shared" si="10"/>
        <v>0</v>
      </c>
      <c r="AK694" t="str" cm="1">
        <f t="array" ref="AK694">_xlfn.IFS(A694&lt;25,"UNDER 25",A694&lt;=34,"25-34",A694&lt;=44,"35-44",A694&lt;=54,"45-54",TRUE,"OVER 55")</f>
        <v>25-34</v>
      </c>
    </row>
    <row r="695" spans="1:37"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f t="shared" si="10"/>
        <v>1</v>
      </c>
      <c r="AK695" t="str" cm="1">
        <f t="array" ref="AK695">_xlfn.IFS(A695&lt;25,"UNDER 25",A695&lt;=34,"25-34",A695&lt;=44,"35-44",A695&lt;=54,"45-54",TRUE,"OVER 55")</f>
        <v>35-44</v>
      </c>
    </row>
    <row r="696" spans="1:37"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f t="shared" si="10"/>
        <v>0</v>
      </c>
      <c r="AK696" t="str" cm="1">
        <f t="array" ref="AK696">_xlfn.IFS(A696&lt;25,"UNDER 25",A696&lt;=34,"25-34",A696&lt;=44,"35-44",A696&lt;=54,"45-54",TRUE,"OVER 55")</f>
        <v>25-34</v>
      </c>
    </row>
    <row r="697" spans="1:37"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f t="shared" si="10"/>
        <v>1</v>
      </c>
      <c r="AK697" t="str" cm="1">
        <f t="array" ref="AK697">_xlfn.IFS(A697&lt;25,"UNDER 25",A697&lt;=34,"25-34",A697&lt;=44,"35-44",A697&lt;=54,"45-54",TRUE,"OVER 55")</f>
        <v>35-44</v>
      </c>
    </row>
    <row r="698" spans="1:37"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f t="shared" si="10"/>
        <v>0</v>
      </c>
      <c r="AK698" t="str" cm="1">
        <f t="array" ref="AK698">_xlfn.IFS(A698&lt;25,"UNDER 25",A698&lt;=34,"25-34",A698&lt;=44,"35-44",A698&lt;=54,"45-54",TRUE,"OVER 55")</f>
        <v>45-54</v>
      </c>
    </row>
    <row r="699" spans="1:37"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f t="shared" si="10"/>
        <v>0</v>
      </c>
      <c r="AK699" t="str" cm="1">
        <f t="array" ref="AK699">_xlfn.IFS(A699&lt;25,"UNDER 25",A699&lt;=34,"25-34",A699&lt;=44,"35-44",A699&lt;=54,"45-54",TRUE,"OVER 55")</f>
        <v>25-34</v>
      </c>
    </row>
    <row r="700" spans="1:37"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f t="shared" si="10"/>
        <v>0</v>
      </c>
      <c r="AK700" t="str" cm="1">
        <f t="array" ref="AK700">_xlfn.IFS(A700&lt;25,"UNDER 25",A700&lt;=34,"25-34",A700&lt;=44,"35-44",A700&lt;=54,"45-54",TRUE,"OVER 55")</f>
        <v>35-44</v>
      </c>
    </row>
    <row r="701" spans="1:37"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f t="shared" si="10"/>
        <v>0</v>
      </c>
      <c r="AK701" t="str" cm="1">
        <f t="array" ref="AK701">_xlfn.IFS(A701&lt;25,"UNDER 25",A701&lt;=34,"25-34",A701&lt;=44,"35-44",A701&lt;=54,"45-54",TRUE,"OVER 55")</f>
        <v>45-54</v>
      </c>
    </row>
    <row r="702" spans="1:37"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f t="shared" si="10"/>
        <v>1</v>
      </c>
      <c r="AK702" t="str" cm="1">
        <f t="array" ref="AK702">_xlfn.IFS(A702&lt;25,"UNDER 25",A702&lt;=34,"25-34",A702&lt;=44,"35-44",A702&lt;=54,"45-54",TRUE,"OVER 55")</f>
        <v>OVER 55</v>
      </c>
    </row>
    <row r="703" spans="1:37"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f t="shared" si="10"/>
        <v>0</v>
      </c>
      <c r="AK703" t="str" cm="1">
        <f t="array" ref="AK703">_xlfn.IFS(A703&lt;25,"UNDER 25",A703&lt;=34,"25-34",A703&lt;=44,"35-44",A703&lt;=54,"45-54",TRUE,"OVER 55")</f>
        <v>45-54</v>
      </c>
    </row>
    <row r="704" spans="1:37"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f t="shared" si="10"/>
        <v>0</v>
      </c>
      <c r="AK704" t="str" cm="1">
        <f t="array" ref="AK704">_xlfn.IFS(A704&lt;25,"UNDER 25",A704&lt;=34,"25-34",A704&lt;=44,"35-44",A704&lt;=54,"45-54",TRUE,"OVER 55")</f>
        <v>25-34</v>
      </c>
    </row>
    <row r="705" spans="1:37"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f t="shared" si="10"/>
        <v>0</v>
      </c>
      <c r="AK705" t="str" cm="1">
        <f t="array" ref="AK705">_xlfn.IFS(A705&lt;25,"UNDER 25",A705&lt;=34,"25-34",A705&lt;=44,"35-44",A705&lt;=54,"45-54",TRUE,"OVER 55")</f>
        <v>35-44</v>
      </c>
    </row>
    <row r="706" spans="1:37"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f t="shared" si="10"/>
        <v>0</v>
      </c>
      <c r="AK706" t="str" cm="1">
        <f t="array" ref="AK706">_xlfn.IFS(A706&lt;25,"UNDER 25",A706&lt;=34,"25-34",A706&lt;=44,"35-44",A706&lt;=54,"45-54",TRUE,"OVER 55")</f>
        <v>35-44</v>
      </c>
    </row>
    <row r="707" spans="1:37"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f t="shared" ref="AJ707:AJ770" si="11">IF(B707="yes",1,0)</f>
        <v>0</v>
      </c>
      <c r="AK707" t="str" cm="1">
        <f t="array" ref="AK707">_xlfn.IFS(A707&lt;25,"UNDER 25",A707&lt;=34,"25-34",A707&lt;=44,"35-44",A707&lt;=54,"45-54",TRUE,"OVER 55")</f>
        <v>35-44</v>
      </c>
    </row>
    <row r="708" spans="1:37"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f t="shared" si="11"/>
        <v>1</v>
      </c>
      <c r="AK708" t="str" cm="1">
        <f t="array" ref="AK708">_xlfn.IFS(A708&lt;25,"UNDER 25",A708&lt;=34,"25-34",A708&lt;=44,"35-44",A708&lt;=54,"45-54",TRUE,"OVER 55")</f>
        <v>35-44</v>
      </c>
    </row>
    <row r="709" spans="1:37"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f t="shared" si="11"/>
        <v>0</v>
      </c>
      <c r="AK709" t="str" cm="1">
        <f t="array" ref="AK709">_xlfn.IFS(A709&lt;25,"UNDER 25",A709&lt;=34,"25-34",A709&lt;=44,"35-44",A709&lt;=54,"45-54",TRUE,"OVER 55")</f>
        <v>45-54</v>
      </c>
    </row>
    <row r="710" spans="1:37"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f t="shared" si="11"/>
        <v>0</v>
      </c>
      <c r="AK710" t="str" cm="1">
        <f t="array" ref="AK710">_xlfn.IFS(A710&lt;25,"UNDER 25",A710&lt;=34,"25-34",A710&lt;=44,"35-44",A710&lt;=54,"45-54",TRUE,"OVER 55")</f>
        <v>35-44</v>
      </c>
    </row>
    <row r="711" spans="1:37"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f t="shared" si="11"/>
        <v>1</v>
      </c>
      <c r="AK711" t="str" cm="1">
        <f t="array" ref="AK711">_xlfn.IFS(A711&lt;25,"UNDER 25",A711&lt;=34,"25-34",A711&lt;=44,"35-44",A711&lt;=54,"45-54",TRUE,"OVER 55")</f>
        <v>25-34</v>
      </c>
    </row>
    <row r="712" spans="1:37"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f t="shared" si="11"/>
        <v>0</v>
      </c>
      <c r="AK712" t="str" cm="1">
        <f t="array" ref="AK712">_xlfn.IFS(A712&lt;25,"UNDER 25",A712&lt;=34,"25-34",A712&lt;=44,"35-44",A712&lt;=54,"45-54",TRUE,"OVER 55")</f>
        <v>25-34</v>
      </c>
    </row>
    <row r="713" spans="1:37"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f t="shared" si="11"/>
        <v>1</v>
      </c>
      <c r="AK713" t="str" cm="1">
        <f t="array" ref="AK713">_xlfn.IFS(A713&lt;25,"UNDER 25",A713&lt;=34,"25-34",A713&lt;=44,"35-44",A713&lt;=54,"45-54",TRUE,"OVER 55")</f>
        <v>25-34</v>
      </c>
    </row>
    <row r="714" spans="1:37"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f t="shared" si="11"/>
        <v>0</v>
      </c>
      <c r="AK714" t="str" cm="1">
        <f t="array" ref="AK714">_xlfn.IFS(A714&lt;25,"UNDER 25",A714&lt;=34,"25-34",A714&lt;=44,"35-44",A714&lt;=54,"45-54",TRUE,"OVER 55")</f>
        <v>25-34</v>
      </c>
    </row>
    <row r="715" spans="1:37"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f t="shared" si="11"/>
        <v>0</v>
      </c>
      <c r="AK715" t="str" cm="1">
        <f t="array" ref="AK715">_xlfn.IFS(A715&lt;25,"UNDER 25",A715&lt;=34,"25-34",A715&lt;=44,"35-44",A715&lt;=54,"45-54",TRUE,"OVER 55")</f>
        <v>45-54</v>
      </c>
    </row>
    <row r="716" spans="1:37"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f t="shared" si="11"/>
        <v>0</v>
      </c>
      <c r="AK716" t="str" cm="1">
        <f t="array" ref="AK716">_xlfn.IFS(A716&lt;25,"UNDER 25",A716&lt;=34,"25-34",A716&lt;=44,"35-44",A716&lt;=54,"45-54",TRUE,"OVER 55")</f>
        <v>45-54</v>
      </c>
    </row>
    <row r="717" spans="1:37"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f t="shared" si="11"/>
        <v>0</v>
      </c>
      <c r="AK717" t="str" cm="1">
        <f t="array" ref="AK717">_xlfn.IFS(A717&lt;25,"UNDER 25",A717&lt;=34,"25-34",A717&lt;=44,"35-44",A717&lt;=54,"45-54",TRUE,"OVER 55")</f>
        <v>25-34</v>
      </c>
    </row>
    <row r="718" spans="1:37"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f t="shared" si="11"/>
        <v>0</v>
      </c>
      <c r="AK718" t="str" cm="1">
        <f t="array" ref="AK718">_xlfn.IFS(A718&lt;25,"UNDER 25",A718&lt;=34,"25-34",A718&lt;=44,"35-44",A718&lt;=54,"45-54",TRUE,"OVER 55")</f>
        <v>35-44</v>
      </c>
    </row>
    <row r="719" spans="1:37"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f t="shared" si="11"/>
        <v>0</v>
      </c>
      <c r="AK719" t="str" cm="1">
        <f t="array" ref="AK719">_xlfn.IFS(A719&lt;25,"UNDER 25",A719&lt;=34,"25-34",A719&lt;=44,"35-44",A719&lt;=54,"45-54",TRUE,"OVER 55")</f>
        <v>25-34</v>
      </c>
    </row>
    <row r="720" spans="1:37"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f t="shared" si="11"/>
        <v>0</v>
      </c>
      <c r="AK720" t="str" cm="1">
        <f t="array" ref="AK720">_xlfn.IFS(A720&lt;25,"UNDER 25",A720&lt;=34,"25-34",A720&lt;=44,"35-44",A720&lt;=54,"45-54",TRUE,"OVER 55")</f>
        <v>45-54</v>
      </c>
    </row>
    <row r="721" spans="1:37"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f t="shared" si="11"/>
        <v>0</v>
      </c>
      <c r="AK721" t="str" cm="1">
        <f t="array" ref="AK721">_xlfn.IFS(A721&lt;25,"UNDER 25",A721&lt;=34,"25-34",A721&lt;=44,"35-44",A721&lt;=54,"45-54",TRUE,"OVER 55")</f>
        <v>45-54</v>
      </c>
    </row>
    <row r="722" spans="1:37"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f t="shared" si="11"/>
        <v>1</v>
      </c>
      <c r="AK722" t="str" cm="1">
        <f t="array" ref="AK722">_xlfn.IFS(A722&lt;25,"UNDER 25",A722&lt;=34,"25-34",A722&lt;=44,"35-44",A722&lt;=54,"45-54",TRUE,"OVER 55")</f>
        <v>25-34</v>
      </c>
    </row>
    <row r="723" spans="1:37"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f t="shared" si="11"/>
        <v>0</v>
      </c>
      <c r="AK723" t="str" cm="1">
        <f t="array" ref="AK723">_xlfn.IFS(A723&lt;25,"UNDER 25",A723&lt;=34,"25-34",A723&lt;=44,"35-44",A723&lt;=54,"45-54",TRUE,"OVER 55")</f>
        <v>45-54</v>
      </c>
    </row>
    <row r="724" spans="1:37"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f t="shared" si="11"/>
        <v>0</v>
      </c>
      <c r="AK724" t="str" cm="1">
        <f t="array" ref="AK724">_xlfn.IFS(A724&lt;25,"UNDER 25",A724&lt;=34,"25-34",A724&lt;=44,"35-44",A724&lt;=54,"45-54",TRUE,"OVER 55")</f>
        <v>35-44</v>
      </c>
    </row>
    <row r="725" spans="1:37"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f t="shared" si="11"/>
        <v>0</v>
      </c>
      <c r="AK725" t="str" cm="1">
        <f t="array" ref="AK725">_xlfn.IFS(A725&lt;25,"UNDER 25",A725&lt;=34,"25-34",A725&lt;=44,"35-44",A725&lt;=54,"45-54",TRUE,"OVER 55")</f>
        <v>45-54</v>
      </c>
    </row>
    <row r="726" spans="1:37"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f t="shared" si="11"/>
        <v>0</v>
      </c>
      <c r="AK726" t="str" cm="1">
        <f t="array" ref="AK726">_xlfn.IFS(A726&lt;25,"UNDER 25",A726&lt;=34,"25-34",A726&lt;=44,"35-44",A726&lt;=54,"45-54",TRUE,"OVER 55")</f>
        <v>UNDER 25</v>
      </c>
    </row>
    <row r="727" spans="1:37"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f t="shared" si="11"/>
        <v>1</v>
      </c>
      <c r="AK727" t="str" cm="1">
        <f t="array" ref="AK727">_xlfn.IFS(A727&lt;25,"UNDER 25",A727&lt;=34,"25-34",A727&lt;=44,"35-44",A727&lt;=54,"45-54",TRUE,"OVER 55")</f>
        <v>35-44</v>
      </c>
    </row>
    <row r="728" spans="1:37"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f t="shared" si="11"/>
        <v>0</v>
      </c>
      <c r="AK728" t="str" cm="1">
        <f t="array" ref="AK728">_xlfn.IFS(A728&lt;25,"UNDER 25",A728&lt;=34,"25-34",A728&lt;=44,"35-44",A728&lt;=54,"45-54",TRUE,"OVER 55")</f>
        <v>25-34</v>
      </c>
    </row>
    <row r="729" spans="1:37"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f t="shared" si="11"/>
        <v>0</v>
      </c>
      <c r="AK729" t="str" cm="1">
        <f t="array" ref="AK729">_xlfn.IFS(A729&lt;25,"UNDER 25",A729&lt;=34,"25-34",A729&lt;=44,"35-44",A729&lt;=54,"45-54",TRUE,"OVER 55")</f>
        <v>UNDER 25</v>
      </c>
    </row>
    <row r="730" spans="1:37"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f t="shared" si="11"/>
        <v>0</v>
      </c>
      <c r="AK730" t="str" cm="1">
        <f t="array" ref="AK730">_xlfn.IFS(A730&lt;25,"UNDER 25",A730&lt;=34,"25-34",A730&lt;=44,"35-44",A730&lt;=54,"45-54",TRUE,"OVER 55")</f>
        <v>45-54</v>
      </c>
    </row>
    <row r="731" spans="1:37"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f t="shared" si="11"/>
        <v>0</v>
      </c>
      <c r="AK731" t="str" cm="1">
        <f t="array" ref="AK731">_xlfn.IFS(A731&lt;25,"UNDER 25",A731&lt;=34,"25-34",A731&lt;=44,"35-44",A731&lt;=54,"45-54",TRUE,"OVER 55")</f>
        <v>35-44</v>
      </c>
    </row>
    <row r="732" spans="1:37"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f t="shared" si="11"/>
        <v>0</v>
      </c>
      <c r="AK732" t="str" cm="1">
        <f t="array" ref="AK732">_xlfn.IFS(A732&lt;25,"UNDER 25",A732&lt;=34,"25-34",A732&lt;=44,"35-44",A732&lt;=54,"45-54",TRUE,"OVER 55")</f>
        <v>25-34</v>
      </c>
    </row>
    <row r="733" spans="1:37"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f t="shared" si="11"/>
        <v>1</v>
      </c>
      <c r="AK733" t="str" cm="1">
        <f t="array" ref="AK733">_xlfn.IFS(A733&lt;25,"UNDER 25",A733&lt;=34,"25-34",A733&lt;=44,"35-44",A733&lt;=54,"45-54",TRUE,"OVER 55")</f>
        <v>UNDER 25</v>
      </c>
    </row>
    <row r="734" spans="1:37"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f t="shared" si="11"/>
        <v>1</v>
      </c>
      <c r="AK734" t="str" cm="1">
        <f t="array" ref="AK734">_xlfn.IFS(A734&lt;25,"UNDER 25",A734&lt;=34,"25-34",A734&lt;=44,"35-44",A734&lt;=54,"45-54",TRUE,"OVER 55")</f>
        <v>25-34</v>
      </c>
    </row>
    <row r="735" spans="1:37"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f t="shared" si="11"/>
        <v>0</v>
      </c>
      <c r="AK735" t="str" cm="1">
        <f t="array" ref="AK735">_xlfn.IFS(A735&lt;25,"UNDER 25",A735&lt;=34,"25-34",A735&lt;=44,"35-44",A735&lt;=54,"45-54",TRUE,"OVER 55")</f>
        <v>25-34</v>
      </c>
    </row>
    <row r="736" spans="1:37"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f t="shared" si="11"/>
        <v>0</v>
      </c>
      <c r="AK736" t="str" cm="1">
        <f t="array" ref="AK736">_xlfn.IFS(A736&lt;25,"UNDER 25",A736&lt;=34,"25-34",A736&lt;=44,"35-44",A736&lt;=54,"45-54",TRUE,"OVER 55")</f>
        <v>UNDER 25</v>
      </c>
    </row>
    <row r="737" spans="1:37"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f t="shared" si="11"/>
        <v>0</v>
      </c>
      <c r="AK737" t="str" cm="1">
        <f t="array" ref="AK737">_xlfn.IFS(A737&lt;25,"UNDER 25",A737&lt;=34,"25-34",A737&lt;=44,"35-44",A737&lt;=54,"45-54",TRUE,"OVER 55")</f>
        <v>45-54</v>
      </c>
    </row>
    <row r="738" spans="1:37"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f t="shared" si="11"/>
        <v>0</v>
      </c>
      <c r="AK738" t="str" cm="1">
        <f t="array" ref="AK738">_xlfn.IFS(A738&lt;25,"UNDER 25",A738&lt;=34,"25-34",A738&lt;=44,"35-44",A738&lt;=54,"45-54",TRUE,"OVER 55")</f>
        <v>45-54</v>
      </c>
    </row>
    <row r="739" spans="1:37"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f t="shared" si="11"/>
        <v>0</v>
      </c>
      <c r="AK739" t="str" cm="1">
        <f t="array" ref="AK739">_xlfn.IFS(A739&lt;25,"UNDER 25",A739&lt;=34,"25-34",A739&lt;=44,"35-44",A739&lt;=54,"45-54",TRUE,"OVER 55")</f>
        <v>35-44</v>
      </c>
    </row>
    <row r="740" spans="1:37"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f t="shared" si="11"/>
        <v>0</v>
      </c>
      <c r="AK740" t="str" cm="1">
        <f t="array" ref="AK740">_xlfn.IFS(A740&lt;25,"UNDER 25",A740&lt;=34,"25-34",A740&lt;=44,"35-44",A740&lt;=54,"45-54",TRUE,"OVER 55")</f>
        <v>35-44</v>
      </c>
    </row>
    <row r="741" spans="1:37"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f t="shared" si="11"/>
        <v>0</v>
      </c>
      <c r="AK741" t="str" cm="1">
        <f t="array" ref="AK741">_xlfn.IFS(A741&lt;25,"UNDER 25",A741&lt;=34,"25-34",A741&lt;=44,"35-44",A741&lt;=54,"45-54",TRUE,"OVER 55")</f>
        <v>25-34</v>
      </c>
    </row>
    <row r="742" spans="1:37"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f t="shared" si="11"/>
        <v>0</v>
      </c>
      <c r="AK742" t="str" cm="1">
        <f t="array" ref="AK742">_xlfn.IFS(A742&lt;25,"UNDER 25",A742&lt;=34,"25-34",A742&lt;=44,"35-44",A742&lt;=54,"45-54",TRUE,"OVER 55")</f>
        <v>35-44</v>
      </c>
    </row>
    <row r="743" spans="1:37"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f t="shared" si="11"/>
        <v>0</v>
      </c>
      <c r="AK743" t="str" cm="1">
        <f t="array" ref="AK743">_xlfn.IFS(A743&lt;25,"UNDER 25",A743&lt;=34,"25-34",A743&lt;=44,"35-44",A743&lt;=54,"45-54",TRUE,"OVER 55")</f>
        <v>35-44</v>
      </c>
    </row>
    <row r="744" spans="1:37"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f t="shared" si="11"/>
        <v>0</v>
      </c>
      <c r="AK744" t="str" cm="1">
        <f t="array" ref="AK744">_xlfn.IFS(A744&lt;25,"UNDER 25",A744&lt;=34,"25-34",A744&lt;=44,"35-44",A744&lt;=54,"45-54",TRUE,"OVER 55")</f>
        <v>45-54</v>
      </c>
    </row>
    <row r="745" spans="1:37"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f t="shared" si="11"/>
        <v>0</v>
      </c>
      <c r="AK745" t="str" cm="1">
        <f t="array" ref="AK745">_xlfn.IFS(A745&lt;25,"UNDER 25",A745&lt;=34,"25-34",A745&lt;=44,"35-44",A745&lt;=54,"45-54",TRUE,"OVER 55")</f>
        <v>OVER 55</v>
      </c>
    </row>
    <row r="746" spans="1:37"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f t="shared" si="11"/>
        <v>1</v>
      </c>
      <c r="AK746" t="str" cm="1">
        <f t="array" ref="AK746">_xlfn.IFS(A746&lt;25,"UNDER 25",A746&lt;=34,"25-34",A746&lt;=44,"35-44",A746&lt;=54,"45-54",TRUE,"OVER 55")</f>
        <v>35-44</v>
      </c>
    </row>
    <row r="747" spans="1:37"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f t="shared" si="11"/>
        <v>0</v>
      </c>
      <c r="AK747" t="str" cm="1">
        <f t="array" ref="AK747">_xlfn.IFS(A747&lt;25,"UNDER 25",A747&lt;=34,"25-34",A747&lt;=44,"35-44",A747&lt;=54,"45-54",TRUE,"OVER 55")</f>
        <v>OVER 55</v>
      </c>
    </row>
    <row r="748" spans="1:37"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f t="shared" si="11"/>
        <v>0</v>
      </c>
      <c r="AK748" t="str" cm="1">
        <f t="array" ref="AK748">_xlfn.IFS(A748&lt;25,"UNDER 25",A748&lt;=34,"25-34",A748&lt;=44,"35-44",A748&lt;=54,"45-54",TRUE,"OVER 55")</f>
        <v>35-44</v>
      </c>
    </row>
    <row r="749" spans="1:37"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f t="shared" si="11"/>
        <v>0</v>
      </c>
      <c r="AK749" t="str" cm="1">
        <f t="array" ref="AK749">_xlfn.IFS(A749&lt;25,"UNDER 25",A749&lt;=34,"25-34",A749&lt;=44,"35-44",A749&lt;=54,"45-54",TRUE,"OVER 55")</f>
        <v>35-44</v>
      </c>
    </row>
    <row r="750" spans="1:37"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f t="shared" si="11"/>
        <v>1</v>
      </c>
      <c r="AK750" t="str" cm="1">
        <f t="array" ref="AK750">_xlfn.IFS(A750&lt;25,"UNDER 25",A750&lt;=34,"25-34",A750&lt;=44,"35-44",A750&lt;=54,"45-54",TRUE,"OVER 55")</f>
        <v>25-34</v>
      </c>
    </row>
    <row r="751" spans="1:37"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f t="shared" si="11"/>
        <v>1</v>
      </c>
      <c r="AK751" t="str" cm="1">
        <f t="array" ref="AK751">_xlfn.IFS(A751&lt;25,"UNDER 25",A751&lt;=34,"25-34",A751&lt;=44,"35-44",A751&lt;=54,"45-54",TRUE,"OVER 55")</f>
        <v>45-54</v>
      </c>
    </row>
    <row r="752" spans="1:37"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f t="shared" si="11"/>
        <v>0</v>
      </c>
      <c r="AK752" t="str" cm="1">
        <f t="array" ref="AK752">_xlfn.IFS(A752&lt;25,"UNDER 25",A752&lt;=34,"25-34",A752&lt;=44,"35-44",A752&lt;=54,"45-54",TRUE,"OVER 55")</f>
        <v>35-44</v>
      </c>
    </row>
    <row r="753" spans="1:37"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f t="shared" si="11"/>
        <v>0</v>
      </c>
      <c r="AK753" t="str" cm="1">
        <f t="array" ref="AK753">_xlfn.IFS(A753&lt;25,"UNDER 25",A753&lt;=34,"25-34",A753&lt;=44,"35-44",A753&lt;=54,"45-54",TRUE,"OVER 55")</f>
        <v>45-54</v>
      </c>
    </row>
    <row r="754" spans="1:37"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f t="shared" si="11"/>
        <v>1</v>
      </c>
      <c r="AK754" t="str" cm="1">
        <f t="array" ref="AK754">_xlfn.IFS(A754&lt;25,"UNDER 25",A754&lt;=34,"25-34",A754&lt;=44,"35-44",A754&lt;=54,"45-54",TRUE,"OVER 55")</f>
        <v>35-44</v>
      </c>
    </row>
    <row r="755" spans="1:37"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f t="shared" si="11"/>
        <v>0</v>
      </c>
      <c r="AK755" t="str" cm="1">
        <f t="array" ref="AK755">_xlfn.IFS(A755&lt;25,"UNDER 25",A755&lt;=34,"25-34",A755&lt;=44,"35-44",A755&lt;=54,"45-54",TRUE,"OVER 55")</f>
        <v>35-44</v>
      </c>
    </row>
    <row r="756" spans="1:37"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f t="shared" si="11"/>
        <v>0</v>
      </c>
      <c r="AK756" t="str" cm="1">
        <f t="array" ref="AK756">_xlfn.IFS(A756&lt;25,"UNDER 25",A756&lt;=34,"25-34",A756&lt;=44,"35-44",A756&lt;=54,"45-54",TRUE,"OVER 55")</f>
        <v>25-34</v>
      </c>
    </row>
    <row r="757" spans="1:37"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f t="shared" si="11"/>
        <v>0</v>
      </c>
      <c r="AK757" t="str" cm="1">
        <f t="array" ref="AK757">_xlfn.IFS(A757&lt;25,"UNDER 25",A757&lt;=34,"25-34",A757&lt;=44,"35-44",A757&lt;=54,"45-54",TRUE,"OVER 55")</f>
        <v>45-54</v>
      </c>
    </row>
    <row r="758" spans="1:37"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f t="shared" si="11"/>
        <v>0</v>
      </c>
      <c r="AK758" t="str" cm="1">
        <f t="array" ref="AK758">_xlfn.IFS(A758&lt;25,"UNDER 25",A758&lt;=34,"25-34",A758&lt;=44,"35-44",A758&lt;=54,"45-54",TRUE,"OVER 55")</f>
        <v>25-34</v>
      </c>
    </row>
    <row r="759" spans="1:37"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f t="shared" si="11"/>
        <v>0</v>
      </c>
      <c r="AK759" t="str" cm="1">
        <f t="array" ref="AK759">_xlfn.IFS(A759&lt;25,"UNDER 25",A759&lt;=34,"25-34",A759&lt;=44,"35-44",A759&lt;=54,"45-54",TRUE,"OVER 55")</f>
        <v>25-34</v>
      </c>
    </row>
    <row r="760" spans="1:37"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f t="shared" si="11"/>
        <v>0</v>
      </c>
      <c r="AK760" t="str" cm="1">
        <f t="array" ref="AK760">_xlfn.IFS(A760&lt;25,"UNDER 25",A760&lt;=34,"25-34",A760&lt;=44,"35-44",A760&lt;=54,"45-54",TRUE,"OVER 55")</f>
        <v>OVER 55</v>
      </c>
    </row>
    <row r="761" spans="1:37"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f t="shared" si="11"/>
        <v>0</v>
      </c>
      <c r="AK761" t="str" cm="1">
        <f t="array" ref="AK761">_xlfn.IFS(A761&lt;25,"UNDER 25",A761&lt;=34,"25-34",A761&lt;=44,"35-44",A761&lt;=54,"45-54",TRUE,"OVER 55")</f>
        <v>45-54</v>
      </c>
    </row>
    <row r="762" spans="1:37"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f t="shared" si="11"/>
        <v>0</v>
      </c>
      <c r="AK762" t="str" cm="1">
        <f t="array" ref="AK762">_xlfn.IFS(A762&lt;25,"UNDER 25",A762&lt;=34,"25-34",A762&lt;=44,"35-44",A762&lt;=54,"45-54",TRUE,"OVER 55")</f>
        <v>45-54</v>
      </c>
    </row>
    <row r="763" spans="1:37"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f t="shared" si="11"/>
        <v>1</v>
      </c>
      <c r="AK763" t="str" cm="1">
        <f t="array" ref="AK763">_xlfn.IFS(A763&lt;25,"UNDER 25",A763&lt;=34,"25-34",A763&lt;=44,"35-44",A763&lt;=54,"45-54",TRUE,"OVER 55")</f>
        <v>35-44</v>
      </c>
    </row>
    <row r="764" spans="1:37"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f t="shared" si="11"/>
        <v>1</v>
      </c>
      <c r="AK764" t="str" cm="1">
        <f t="array" ref="AK764">_xlfn.IFS(A764&lt;25,"UNDER 25",A764&lt;=34,"25-34",A764&lt;=44,"35-44",A764&lt;=54,"45-54",TRUE,"OVER 55")</f>
        <v>25-34</v>
      </c>
    </row>
    <row r="765" spans="1:37"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f t="shared" si="11"/>
        <v>0</v>
      </c>
      <c r="AK765" t="str" cm="1">
        <f t="array" ref="AK765">_xlfn.IFS(A765&lt;25,"UNDER 25",A765&lt;=34,"25-34",A765&lt;=44,"35-44",A765&lt;=54,"45-54",TRUE,"OVER 55")</f>
        <v>25-34</v>
      </c>
    </row>
    <row r="766" spans="1:37"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f t="shared" si="11"/>
        <v>0</v>
      </c>
      <c r="AK766" t="str" cm="1">
        <f t="array" ref="AK766">_xlfn.IFS(A766&lt;25,"UNDER 25",A766&lt;=34,"25-34",A766&lt;=44,"35-44",A766&lt;=54,"45-54",TRUE,"OVER 55")</f>
        <v>25-34</v>
      </c>
    </row>
    <row r="767" spans="1:37"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f t="shared" si="11"/>
        <v>0</v>
      </c>
      <c r="AK767" t="str" cm="1">
        <f t="array" ref="AK767">_xlfn.IFS(A767&lt;25,"UNDER 25",A767&lt;=34,"25-34",A767&lt;=44,"35-44",A767&lt;=54,"45-54",TRUE,"OVER 55")</f>
        <v>35-44</v>
      </c>
    </row>
    <row r="768" spans="1:37"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f t="shared" si="11"/>
        <v>0</v>
      </c>
      <c r="AK768" t="str" cm="1">
        <f t="array" ref="AK768">_xlfn.IFS(A768&lt;25,"UNDER 25",A768&lt;=34,"25-34",A768&lt;=44,"35-44",A768&lt;=54,"45-54",TRUE,"OVER 55")</f>
        <v>45-54</v>
      </c>
    </row>
    <row r="769" spans="1:37"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f t="shared" si="11"/>
        <v>0</v>
      </c>
      <c r="AK769" t="str" cm="1">
        <f t="array" ref="AK769">_xlfn.IFS(A769&lt;25,"UNDER 25",A769&lt;=34,"25-34",A769&lt;=44,"35-44",A769&lt;=54,"45-54",TRUE,"OVER 55")</f>
        <v>35-44</v>
      </c>
    </row>
    <row r="770" spans="1:37"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f t="shared" si="11"/>
        <v>0</v>
      </c>
      <c r="AK770" t="str" cm="1">
        <f t="array" ref="AK770">_xlfn.IFS(A770&lt;25,"UNDER 25",A770&lt;=34,"25-34",A770&lt;=44,"35-44",A770&lt;=54,"45-54",TRUE,"OVER 55")</f>
        <v>35-44</v>
      </c>
    </row>
    <row r="771" spans="1:37"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f t="shared" ref="AJ771:AJ834" si="12">IF(B771="yes",1,0)</f>
        <v>0</v>
      </c>
      <c r="AK771" t="str" cm="1">
        <f t="array" ref="AK771">_xlfn.IFS(A771&lt;25,"UNDER 25",A771&lt;=34,"25-34",A771&lt;=44,"35-44",A771&lt;=54,"45-54",TRUE,"OVER 55")</f>
        <v>25-34</v>
      </c>
    </row>
    <row r="772" spans="1:37"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f t="shared" si="12"/>
        <v>0</v>
      </c>
      <c r="AK772" t="str" cm="1">
        <f t="array" ref="AK772">_xlfn.IFS(A772&lt;25,"UNDER 25",A772&lt;=34,"25-34",A772&lt;=44,"35-44",A772&lt;=54,"45-54",TRUE,"OVER 55")</f>
        <v>45-54</v>
      </c>
    </row>
    <row r="773" spans="1:37"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f t="shared" si="12"/>
        <v>0</v>
      </c>
      <c r="AK773" t="str" cm="1">
        <f t="array" ref="AK773">_xlfn.IFS(A773&lt;25,"UNDER 25",A773&lt;=34,"25-34",A773&lt;=44,"35-44",A773&lt;=54,"45-54",TRUE,"OVER 55")</f>
        <v>45-54</v>
      </c>
    </row>
    <row r="774" spans="1:37"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f t="shared" si="12"/>
        <v>0</v>
      </c>
      <c r="AK774" t="str" cm="1">
        <f t="array" ref="AK774">_xlfn.IFS(A774&lt;25,"UNDER 25",A774&lt;=34,"25-34",A774&lt;=44,"35-44",A774&lt;=54,"45-54",TRUE,"OVER 55")</f>
        <v>OVER 55</v>
      </c>
    </row>
    <row r="775" spans="1:37"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f t="shared" si="12"/>
        <v>0</v>
      </c>
      <c r="AK775" t="str" cm="1">
        <f t="array" ref="AK775">_xlfn.IFS(A775&lt;25,"UNDER 25",A775&lt;=34,"25-34",A775&lt;=44,"35-44",A775&lt;=54,"45-54",TRUE,"OVER 55")</f>
        <v>35-44</v>
      </c>
    </row>
    <row r="776" spans="1:37"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f t="shared" si="12"/>
        <v>0</v>
      </c>
      <c r="AK776" t="str" cm="1">
        <f t="array" ref="AK776">_xlfn.IFS(A776&lt;25,"UNDER 25",A776&lt;=34,"25-34",A776&lt;=44,"35-44",A776&lt;=54,"45-54",TRUE,"OVER 55")</f>
        <v>OVER 55</v>
      </c>
    </row>
    <row r="777" spans="1:37"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f t="shared" si="12"/>
        <v>0</v>
      </c>
      <c r="AK777" t="str" cm="1">
        <f t="array" ref="AK777">_xlfn.IFS(A777&lt;25,"UNDER 25",A777&lt;=34,"25-34",A777&lt;=44,"35-44",A777&lt;=54,"45-54",TRUE,"OVER 55")</f>
        <v>35-44</v>
      </c>
    </row>
    <row r="778" spans="1:37"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f t="shared" si="12"/>
        <v>1</v>
      </c>
      <c r="AK778" t="str" cm="1">
        <f t="array" ref="AK778">_xlfn.IFS(A778&lt;25,"UNDER 25",A778&lt;=34,"25-34",A778&lt;=44,"35-44",A778&lt;=54,"45-54",TRUE,"OVER 55")</f>
        <v>UNDER 25</v>
      </c>
    </row>
    <row r="779" spans="1:37"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f t="shared" si="12"/>
        <v>1</v>
      </c>
      <c r="AK779" t="str" cm="1">
        <f t="array" ref="AK779">_xlfn.IFS(A779&lt;25,"UNDER 25",A779&lt;=34,"25-34",A779&lt;=44,"35-44",A779&lt;=54,"45-54",TRUE,"OVER 55")</f>
        <v>UNDER 25</v>
      </c>
    </row>
    <row r="780" spans="1:37"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f t="shared" si="12"/>
        <v>0</v>
      </c>
      <c r="AK780" t="str" cm="1">
        <f t="array" ref="AK780">_xlfn.IFS(A780&lt;25,"UNDER 25",A780&lt;=34,"25-34",A780&lt;=44,"35-44",A780&lt;=54,"45-54",TRUE,"OVER 55")</f>
        <v>45-54</v>
      </c>
    </row>
    <row r="781" spans="1:37"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f t="shared" si="12"/>
        <v>1</v>
      </c>
      <c r="AK781" t="str" cm="1">
        <f t="array" ref="AK781">_xlfn.IFS(A781&lt;25,"UNDER 25",A781&lt;=34,"25-34",A781&lt;=44,"35-44",A781&lt;=54,"45-54",TRUE,"OVER 55")</f>
        <v>45-54</v>
      </c>
    </row>
    <row r="782" spans="1:37"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f t="shared" si="12"/>
        <v>1</v>
      </c>
      <c r="AK782" t="str" cm="1">
        <f t="array" ref="AK782">_xlfn.IFS(A782&lt;25,"UNDER 25",A782&lt;=34,"25-34",A782&lt;=44,"35-44",A782&lt;=54,"45-54",TRUE,"OVER 55")</f>
        <v>25-34</v>
      </c>
    </row>
    <row r="783" spans="1:37"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f t="shared" si="12"/>
        <v>0</v>
      </c>
      <c r="AK783" t="str" cm="1">
        <f t="array" ref="AK783">_xlfn.IFS(A783&lt;25,"UNDER 25",A783&lt;=34,"25-34",A783&lt;=44,"35-44",A783&lt;=54,"45-54",TRUE,"OVER 55")</f>
        <v>25-34</v>
      </c>
    </row>
    <row r="784" spans="1:37"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f t="shared" si="12"/>
        <v>0</v>
      </c>
      <c r="AK784" t="str" cm="1">
        <f t="array" ref="AK784">_xlfn.IFS(A784&lt;25,"UNDER 25",A784&lt;=34,"25-34",A784&lt;=44,"35-44",A784&lt;=54,"45-54",TRUE,"OVER 55")</f>
        <v>25-34</v>
      </c>
    </row>
    <row r="785" spans="1:37"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f t="shared" si="12"/>
        <v>0</v>
      </c>
      <c r="AK785" t="str" cm="1">
        <f t="array" ref="AK785">_xlfn.IFS(A785&lt;25,"UNDER 25",A785&lt;=34,"25-34",A785&lt;=44,"35-44",A785&lt;=54,"45-54",TRUE,"OVER 55")</f>
        <v>35-44</v>
      </c>
    </row>
    <row r="786" spans="1:37"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f t="shared" si="12"/>
        <v>0</v>
      </c>
      <c r="AK786" t="str" cm="1">
        <f t="array" ref="AK786">_xlfn.IFS(A786&lt;25,"UNDER 25",A786&lt;=34,"25-34",A786&lt;=44,"35-44",A786&lt;=54,"45-54",TRUE,"OVER 55")</f>
        <v>35-44</v>
      </c>
    </row>
    <row r="787" spans="1:37"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f t="shared" si="12"/>
        <v>0</v>
      </c>
      <c r="AK787" t="str" cm="1">
        <f t="array" ref="AK787">_xlfn.IFS(A787&lt;25,"UNDER 25",A787&lt;=34,"25-34",A787&lt;=44,"35-44",A787&lt;=54,"45-54",TRUE,"OVER 55")</f>
        <v>35-44</v>
      </c>
    </row>
    <row r="788" spans="1:37"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f t="shared" si="12"/>
        <v>0</v>
      </c>
      <c r="AK788" t="str" cm="1">
        <f t="array" ref="AK788">_xlfn.IFS(A788&lt;25,"UNDER 25",A788&lt;=34,"25-34",A788&lt;=44,"35-44",A788&lt;=54,"45-54",TRUE,"OVER 55")</f>
        <v>25-34</v>
      </c>
    </row>
    <row r="789" spans="1:37"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f t="shared" si="12"/>
        <v>0</v>
      </c>
      <c r="AK789" t="str" cm="1">
        <f t="array" ref="AK789">_xlfn.IFS(A789&lt;25,"UNDER 25",A789&lt;=34,"25-34",A789&lt;=44,"35-44",A789&lt;=54,"45-54",TRUE,"OVER 55")</f>
        <v>OVER 55</v>
      </c>
    </row>
    <row r="790" spans="1:37"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f t="shared" si="12"/>
        <v>0</v>
      </c>
      <c r="AK790" t="str" cm="1">
        <f t="array" ref="AK790">_xlfn.IFS(A790&lt;25,"UNDER 25",A790&lt;=34,"25-34",A790&lt;=44,"35-44",A790&lt;=54,"45-54",TRUE,"OVER 55")</f>
        <v>25-34</v>
      </c>
    </row>
    <row r="791" spans="1:37"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f t="shared" si="12"/>
        <v>1</v>
      </c>
      <c r="AK791" t="str" cm="1">
        <f t="array" ref="AK791">_xlfn.IFS(A791&lt;25,"UNDER 25",A791&lt;=34,"25-34",A791&lt;=44,"35-44",A791&lt;=54,"45-54",TRUE,"OVER 55")</f>
        <v>35-44</v>
      </c>
    </row>
    <row r="792" spans="1:37"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f t="shared" si="12"/>
        <v>0</v>
      </c>
      <c r="AK792" t="str" cm="1">
        <f t="array" ref="AK792">_xlfn.IFS(A792&lt;25,"UNDER 25",A792&lt;=34,"25-34",A792&lt;=44,"35-44",A792&lt;=54,"45-54",TRUE,"OVER 55")</f>
        <v>25-34</v>
      </c>
    </row>
    <row r="793" spans="1:37"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f t="shared" si="12"/>
        <v>1</v>
      </c>
      <c r="AK793" t="str" cm="1">
        <f t="array" ref="AK793">_xlfn.IFS(A793&lt;25,"UNDER 25",A793&lt;=34,"25-34",A793&lt;=44,"35-44",A793&lt;=54,"45-54",TRUE,"OVER 55")</f>
        <v>35-44</v>
      </c>
    </row>
    <row r="794" spans="1:37"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f t="shared" si="12"/>
        <v>1</v>
      </c>
      <c r="AK794" t="str" cm="1">
        <f t="array" ref="AK794">_xlfn.IFS(A794&lt;25,"UNDER 25",A794&lt;=34,"25-34",A794&lt;=44,"35-44",A794&lt;=54,"45-54",TRUE,"OVER 55")</f>
        <v>25-34</v>
      </c>
    </row>
    <row r="795" spans="1:37"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f t="shared" si="12"/>
        <v>0</v>
      </c>
      <c r="AK795" t="str" cm="1">
        <f t="array" ref="AK795">_xlfn.IFS(A795&lt;25,"UNDER 25",A795&lt;=34,"25-34",A795&lt;=44,"35-44",A795&lt;=54,"45-54",TRUE,"OVER 55")</f>
        <v>25-34</v>
      </c>
    </row>
    <row r="796" spans="1:37"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f t="shared" si="12"/>
        <v>0</v>
      </c>
      <c r="AK796" t="str" cm="1">
        <f t="array" ref="AK796">_xlfn.IFS(A796&lt;25,"UNDER 25",A796&lt;=34,"25-34",A796&lt;=44,"35-44",A796&lt;=54,"45-54",TRUE,"OVER 55")</f>
        <v>25-34</v>
      </c>
    </row>
    <row r="797" spans="1:37"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f t="shared" si="12"/>
        <v>0</v>
      </c>
      <c r="AK797" t="str" cm="1">
        <f t="array" ref="AK797">_xlfn.IFS(A797&lt;25,"UNDER 25",A797&lt;=34,"25-34",A797&lt;=44,"35-44",A797&lt;=54,"45-54",TRUE,"OVER 55")</f>
        <v>35-44</v>
      </c>
    </row>
    <row r="798" spans="1:37"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f t="shared" si="12"/>
        <v>1</v>
      </c>
      <c r="AK798" t="str" cm="1">
        <f t="array" ref="AK798">_xlfn.IFS(A798&lt;25,"UNDER 25",A798&lt;=34,"25-34",A798&lt;=44,"35-44",A798&lt;=54,"45-54",TRUE,"OVER 55")</f>
        <v>25-34</v>
      </c>
    </row>
    <row r="799" spans="1:37"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f t="shared" si="12"/>
        <v>1</v>
      </c>
      <c r="AK799" t="str" cm="1">
        <f t="array" ref="AK799">_xlfn.IFS(A799&lt;25,"UNDER 25",A799&lt;=34,"25-34",A799&lt;=44,"35-44",A799&lt;=54,"45-54",TRUE,"OVER 55")</f>
        <v>25-34</v>
      </c>
    </row>
    <row r="800" spans="1:37"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f t="shared" si="12"/>
        <v>1</v>
      </c>
      <c r="AK800" t="str" cm="1">
        <f t="array" ref="AK800">_xlfn.IFS(A800&lt;25,"UNDER 25",A800&lt;=34,"25-34",A800&lt;=44,"35-44",A800&lt;=54,"45-54",TRUE,"OVER 55")</f>
        <v>25-34</v>
      </c>
    </row>
    <row r="801" spans="1:37"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f t="shared" si="12"/>
        <v>0</v>
      </c>
      <c r="AK801" t="str" cm="1">
        <f t="array" ref="AK801">_xlfn.IFS(A801&lt;25,"UNDER 25",A801&lt;=34,"25-34",A801&lt;=44,"35-44",A801&lt;=54,"45-54",TRUE,"OVER 55")</f>
        <v>35-44</v>
      </c>
    </row>
    <row r="802" spans="1:37"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f t="shared" si="12"/>
        <v>1</v>
      </c>
      <c r="AK802" t="str" cm="1">
        <f t="array" ref="AK802">_xlfn.IFS(A802&lt;25,"UNDER 25",A802&lt;=34,"25-34",A802&lt;=44,"35-44",A802&lt;=54,"45-54",TRUE,"OVER 55")</f>
        <v>25-34</v>
      </c>
    </row>
    <row r="803" spans="1:37"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f t="shared" si="12"/>
        <v>1</v>
      </c>
      <c r="AK803" t="str" cm="1">
        <f t="array" ref="AK803">_xlfn.IFS(A803&lt;25,"UNDER 25",A803&lt;=34,"25-34",A803&lt;=44,"35-44",A803&lt;=54,"45-54",TRUE,"OVER 55")</f>
        <v>45-54</v>
      </c>
    </row>
    <row r="804" spans="1:37"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f t="shared" si="12"/>
        <v>0</v>
      </c>
      <c r="AK804" t="str" cm="1">
        <f t="array" ref="AK804">_xlfn.IFS(A804&lt;25,"UNDER 25",A804&lt;=34,"25-34",A804&lt;=44,"35-44",A804&lt;=54,"45-54",TRUE,"OVER 55")</f>
        <v>25-34</v>
      </c>
    </row>
    <row r="805" spans="1:37"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f t="shared" si="12"/>
        <v>0</v>
      </c>
      <c r="AK805" t="str" cm="1">
        <f t="array" ref="AK805">_xlfn.IFS(A805&lt;25,"UNDER 25",A805&lt;=34,"25-34",A805&lt;=44,"35-44",A805&lt;=54,"45-54",TRUE,"OVER 55")</f>
        <v>25-34</v>
      </c>
    </row>
    <row r="806" spans="1:37"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f t="shared" si="12"/>
        <v>0</v>
      </c>
      <c r="AK806" t="str" cm="1">
        <f t="array" ref="AK806">_xlfn.IFS(A806&lt;25,"UNDER 25",A806&lt;=34,"25-34",A806&lt;=44,"35-44",A806&lt;=54,"45-54",TRUE,"OVER 55")</f>
        <v>45-54</v>
      </c>
    </row>
    <row r="807" spans="1:37"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f t="shared" si="12"/>
        <v>0</v>
      </c>
      <c r="AK807" t="str" cm="1">
        <f t="array" ref="AK807">_xlfn.IFS(A807&lt;25,"UNDER 25",A807&lt;=34,"25-34",A807&lt;=44,"35-44",A807&lt;=54,"45-54",TRUE,"OVER 55")</f>
        <v>45-54</v>
      </c>
    </row>
    <row r="808" spans="1:37"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f t="shared" si="12"/>
        <v>0</v>
      </c>
      <c r="AK808" t="str" cm="1">
        <f t="array" ref="AK808">_xlfn.IFS(A808&lt;25,"UNDER 25",A808&lt;=34,"25-34",A808&lt;=44,"35-44",A808&lt;=54,"45-54",TRUE,"OVER 55")</f>
        <v>45-54</v>
      </c>
    </row>
    <row r="809" spans="1:37"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f t="shared" si="12"/>
        <v>0</v>
      </c>
      <c r="AK809" t="str" cm="1">
        <f t="array" ref="AK809">_xlfn.IFS(A809&lt;25,"UNDER 25",A809&lt;=34,"25-34",A809&lt;=44,"35-44",A809&lt;=54,"45-54",TRUE,"OVER 55")</f>
        <v>35-44</v>
      </c>
    </row>
    <row r="810" spans="1:37"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f t="shared" si="12"/>
        <v>0</v>
      </c>
      <c r="AK810" t="str" cm="1">
        <f t="array" ref="AK810">_xlfn.IFS(A810&lt;25,"UNDER 25",A810&lt;=34,"25-34",A810&lt;=44,"35-44",A810&lt;=54,"45-54",TRUE,"OVER 55")</f>
        <v>25-34</v>
      </c>
    </row>
    <row r="811" spans="1:37"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f t="shared" si="12"/>
        <v>0</v>
      </c>
      <c r="AK811" t="str" cm="1">
        <f t="array" ref="AK811">_xlfn.IFS(A811&lt;25,"UNDER 25",A811&lt;=34,"25-34",A811&lt;=44,"35-44",A811&lt;=54,"45-54",TRUE,"OVER 55")</f>
        <v>25-34</v>
      </c>
    </row>
    <row r="812" spans="1:37"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f t="shared" si="12"/>
        <v>0</v>
      </c>
      <c r="AK812" t="str" cm="1">
        <f t="array" ref="AK812">_xlfn.IFS(A812&lt;25,"UNDER 25",A812&lt;=34,"25-34",A812&lt;=44,"35-44",A812&lt;=54,"45-54",TRUE,"OVER 55")</f>
        <v>45-54</v>
      </c>
    </row>
    <row r="813" spans="1:37"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f t="shared" si="12"/>
        <v>0</v>
      </c>
      <c r="AK813" t="str" cm="1">
        <f t="array" ref="AK813">_xlfn.IFS(A813&lt;25,"UNDER 25",A813&lt;=34,"25-34",A813&lt;=44,"35-44",A813&lt;=54,"45-54",TRUE,"OVER 55")</f>
        <v>35-44</v>
      </c>
    </row>
    <row r="814" spans="1:37"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f t="shared" si="12"/>
        <v>0</v>
      </c>
      <c r="AK814" t="str" cm="1">
        <f t="array" ref="AK814">_xlfn.IFS(A814&lt;25,"UNDER 25",A814&lt;=34,"25-34",A814&lt;=44,"35-44",A814&lt;=54,"45-54",TRUE,"OVER 55")</f>
        <v>35-44</v>
      </c>
    </row>
    <row r="815" spans="1:37"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f t="shared" si="12"/>
        <v>1</v>
      </c>
      <c r="AK815" t="str" cm="1">
        <f t="array" ref="AK815">_xlfn.IFS(A815&lt;25,"UNDER 25",A815&lt;=34,"25-34",A815&lt;=44,"35-44",A815&lt;=54,"45-54",TRUE,"OVER 55")</f>
        <v>35-44</v>
      </c>
    </row>
    <row r="816" spans="1:37"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f t="shared" si="12"/>
        <v>0</v>
      </c>
      <c r="AK816" t="str" cm="1">
        <f t="array" ref="AK816">_xlfn.IFS(A816&lt;25,"UNDER 25",A816&lt;=34,"25-34",A816&lt;=44,"35-44",A816&lt;=54,"45-54",TRUE,"OVER 55")</f>
        <v>35-44</v>
      </c>
    </row>
    <row r="817" spans="1:37"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f t="shared" si="12"/>
        <v>0</v>
      </c>
      <c r="AK817" t="str" cm="1">
        <f t="array" ref="AK817">_xlfn.IFS(A817&lt;25,"UNDER 25",A817&lt;=34,"25-34",A817&lt;=44,"35-44",A817&lt;=54,"45-54",TRUE,"OVER 55")</f>
        <v>UNDER 25</v>
      </c>
    </row>
    <row r="818" spans="1:37"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f t="shared" si="12"/>
        <v>0</v>
      </c>
      <c r="AK818" t="str" cm="1">
        <f t="array" ref="AK818">_xlfn.IFS(A818&lt;25,"UNDER 25",A818&lt;=34,"25-34",A818&lt;=44,"35-44",A818&lt;=54,"45-54",TRUE,"OVER 55")</f>
        <v>35-44</v>
      </c>
    </row>
    <row r="819" spans="1:37"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f t="shared" si="12"/>
        <v>0</v>
      </c>
      <c r="AK819" t="str" cm="1">
        <f t="array" ref="AK819">_xlfn.IFS(A819&lt;25,"UNDER 25",A819&lt;=34,"25-34",A819&lt;=44,"35-44",A819&lt;=54,"45-54",TRUE,"OVER 55")</f>
        <v>35-44</v>
      </c>
    </row>
    <row r="820" spans="1:37"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f t="shared" si="12"/>
        <v>0</v>
      </c>
      <c r="AK820" t="str" cm="1">
        <f t="array" ref="AK820">_xlfn.IFS(A820&lt;25,"UNDER 25",A820&lt;=34,"25-34",A820&lt;=44,"35-44",A820&lt;=54,"45-54",TRUE,"OVER 55")</f>
        <v>25-34</v>
      </c>
    </row>
    <row r="821" spans="1:37"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f t="shared" si="12"/>
        <v>0</v>
      </c>
      <c r="AK821" t="str" cm="1">
        <f t="array" ref="AK821">_xlfn.IFS(A821&lt;25,"UNDER 25",A821&lt;=34,"25-34",A821&lt;=44,"35-44",A821&lt;=54,"45-54",TRUE,"OVER 55")</f>
        <v>25-34</v>
      </c>
    </row>
    <row r="822" spans="1:37"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f t="shared" si="12"/>
        <v>0</v>
      </c>
      <c r="AK822" t="str" cm="1">
        <f t="array" ref="AK822">_xlfn.IFS(A822&lt;25,"UNDER 25",A822&lt;=34,"25-34",A822&lt;=44,"35-44",A822&lt;=54,"45-54",TRUE,"OVER 55")</f>
        <v>35-44</v>
      </c>
    </row>
    <row r="823" spans="1:37"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f t="shared" si="12"/>
        <v>0</v>
      </c>
      <c r="AK823" t="str" cm="1">
        <f t="array" ref="AK823">_xlfn.IFS(A823&lt;25,"UNDER 25",A823&lt;=34,"25-34",A823&lt;=44,"35-44",A823&lt;=54,"45-54",TRUE,"OVER 55")</f>
        <v>45-54</v>
      </c>
    </row>
    <row r="824" spans="1:37"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f t="shared" si="12"/>
        <v>0</v>
      </c>
      <c r="AK824" t="str" cm="1">
        <f t="array" ref="AK824">_xlfn.IFS(A824&lt;25,"UNDER 25",A824&lt;=34,"25-34",A824&lt;=44,"35-44",A824&lt;=54,"45-54",TRUE,"OVER 55")</f>
        <v>25-34</v>
      </c>
    </row>
    <row r="825" spans="1:37"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f t="shared" si="12"/>
        <v>0</v>
      </c>
      <c r="AK825" t="str" cm="1">
        <f t="array" ref="AK825">_xlfn.IFS(A825&lt;25,"UNDER 25",A825&lt;=34,"25-34",A825&lt;=44,"35-44",A825&lt;=54,"45-54",TRUE,"OVER 55")</f>
        <v>25-34</v>
      </c>
    </row>
    <row r="826" spans="1:37"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f t="shared" si="12"/>
        <v>0</v>
      </c>
      <c r="AK826" t="str" cm="1">
        <f t="array" ref="AK826">_xlfn.IFS(A826&lt;25,"UNDER 25",A826&lt;=34,"25-34",A826&lt;=44,"35-44",A826&lt;=54,"45-54",TRUE,"OVER 55")</f>
        <v>35-44</v>
      </c>
    </row>
    <row r="827" spans="1:37"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f t="shared" si="12"/>
        <v>0</v>
      </c>
      <c r="AK827" t="str" cm="1">
        <f t="array" ref="AK827">_xlfn.IFS(A827&lt;25,"UNDER 25",A827&lt;=34,"25-34",A827&lt;=44,"35-44",A827&lt;=54,"45-54",TRUE,"OVER 55")</f>
        <v>25-34</v>
      </c>
    </row>
    <row r="828" spans="1:37"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f t="shared" si="12"/>
        <v>0</v>
      </c>
      <c r="AK828" t="str" cm="1">
        <f t="array" ref="AK828">_xlfn.IFS(A828&lt;25,"UNDER 25",A828&lt;=34,"25-34",A828&lt;=44,"35-44",A828&lt;=54,"45-54",TRUE,"OVER 55")</f>
        <v>35-44</v>
      </c>
    </row>
    <row r="829" spans="1:37"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f t="shared" si="12"/>
        <v>0</v>
      </c>
      <c r="AK829" t="str" cm="1">
        <f t="array" ref="AK829">_xlfn.IFS(A829&lt;25,"UNDER 25",A829&lt;=34,"25-34",A829&lt;=44,"35-44",A829&lt;=54,"45-54",TRUE,"OVER 55")</f>
        <v>25-34</v>
      </c>
    </row>
    <row r="830" spans="1:37"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f t="shared" si="12"/>
        <v>1</v>
      </c>
      <c r="AK830" t="str" cm="1">
        <f t="array" ref="AK830">_xlfn.IFS(A830&lt;25,"UNDER 25",A830&lt;=34,"25-34",A830&lt;=44,"35-44",A830&lt;=54,"45-54",TRUE,"OVER 55")</f>
        <v>UNDER 25</v>
      </c>
    </row>
    <row r="831" spans="1:37"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f t="shared" si="12"/>
        <v>1</v>
      </c>
      <c r="AK831" t="str" cm="1">
        <f t="array" ref="AK831">_xlfn.IFS(A831&lt;25,"UNDER 25",A831&lt;=34,"25-34",A831&lt;=44,"35-44",A831&lt;=54,"45-54",TRUE,"OVER 55")</f>
        <v>25-34</v>
      </c>
    </row>
    <row r="832" spans="1:37"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f t="shared" si="12"/>
        <v>0</v>
      </c>
      <c r="AK832" t="str" cm="1">
        <f t="array" ref="AK832">_xlfn.IFS(A832&lt;25,"UNDER 25",A832&lt;=34,"25-34",A832&lt;=44,"35-44",A832&lt;=54,"45-54",TRUE,"OVER 55")</f>
        <v>35-44</v>
      </c>
    </row>
    <row r="833" spans="1:37"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f t="shared" si="12"/>
        <v>1</v>
      </c>
      <c r="AK833" t="str" cm="1">
        <f t="array" ref="AK833">_xlfn.IFS(A833&lt;25,"UNDER 25",A833&lt;=34,"25-34",A833&lt;=44,"35-44",A833&lt;=54,"45-54",TRUE,"OVER 55")</f>
        <v>25-34</v>
      </c>
    </row>
    <row r="834" spans="1:37"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f t="shared" si="12"/>
        <v>0</v>
      </c>
      <c r="AK834" t="str" cm="1">
        <f t="array" ref="AK834">_xlfn.IFS(A834&lt;25,"UNDER 25",A834&lt;=34,"25-34",A834&lt;=44,"35-44",A834&lt;=54,"45-54",TRUE,"OVER 55")</f>
        <v>35-44</v>
      </c>
    </row>
    <row r="835" spans="1:37"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f t="shared" ref="AJ835:AJ898" si="13">IF(B835="yes",1,0)</f>
        <v>0</v>
      </c>
      <c r="AK835" t="str" cm="1">
        <f t="array" ref="AK835">_xlfn.IFS(A835&lt;25,"UNDER 25",A835&lt;=34,"25-34",A835&lt;=44,"35-44",A835&lt;=54,"45-54",TRUE,"OVER 55")</f>
        <v>25-34</v>
      </c>
    </row>
    <row r="836" spans="1:37"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f t="shared" si="13"/>
        <v>0</v>
      </c>
      <c r="AK836" t="str" cm="1">
        <f t="array" ref="AK836">_xlfn.IFS(A836&lt;25,"UNDER 25",A836&lt;=34,"25-34",A836&lt;=44,"35-44",A836&lt;=54,"45-54",TRUE,"OVER 55")</f>
        <v>25-34</v>
      </c>
    </row>
    <row r="837" spans="1:37"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f t="shared" si="13"/>
        <v>0</v>
      </c>
      <c r="AK837" t="str" cm="1">
        <f t="array" ref="AK837">_xlfn.IFS(A837&lt;25,"UNDER 25",A837&lt;=34,"25-34",A837&lt;=44,"35-44",A837&lt;=54,"45-54",TRUE,"OVER 55")</f>
        <v>35-44</v>
      </c>
    </row>
    <row r="838" spans="1:37"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f t="shared" si="13"/>
        <v>1</v>
      </c>
      <c r="AK838" t="str" cm="1">
        <f t="array" ref="AK838">_xlfn.IFS(A838&lt;25,"UNDER 25",A838&lt;=34,"25-34",A838&lt;=44,"35-44",A838&lt;=54,"45-54",TRUE,"OVER 55")</f>
        <v>25-34</v>
      </c>
    </row>
    <row r="839" spans="1:37"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f t="shared" si="13"/>
        <v>0</v>
      </c>
      <c r="AK839" t="str" cm="1">
        <f t="array" ref="AK839">_xlfn.IFS(A839&lt;25,"UNDER 25",A839&lt;=34,"25-34",A839&lt;=44,"35-44",A839&lt;=54,"45-54",TRUE,"OVER 55")</f>
        <v>35-44</v>
      </c>
    </row>
    <row r="840" spans="1:37"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f t="shared" si="13"/>
        <v>1</v>
      </c>
      <c r="AK840" t="str" cm="1">
        <f t="array" ref="AK840">_xlfn.IFS(A840&lt;25,"UNDER 25",A840&lt;=34,"25-34",A840&lt;=44,"35-44",A840&lt;=54,"45-54",TRUE,"OVER 55")</f>
        <v>35-44</v>
      </c>
    </row>
    <row r="841" spans="1:37"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f t="shared" si="13"/>
        <v>0</v>
      </c>
      <c r="AK841" t="str" cm="1">
        <f t="array" ref="AK841">_xlfn.IFS(A841&lt;25,"UNDER 25",A841&lt;=34,"25-34",A841&lt;=44,"35-44",A841&lt;=54,"45-54",TRUE,"OVER 55")</f>
        <v>35-44</v>
      </c>
    </row>
    <row r="842" spans="1:37"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f t="shared" si="13"/>
        <v>0</v>
      </c>
      <c r="AK842" t="str" cm="1">
        <f t="array" ref="AK842">_xlfn.IFS(A842&lt;25,"UNDER 25",A842&lt;=34,"25-34",A842&lt;=44,"35-44",A842&lt;=54,"45-54",TRUE,"OVER 55")</f>
        <v>35-44</v>
      </c>
    </row>
    <row r="843" spans="1:37"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f t="shared" si="13"/>
        <v>0</v>
      </c>
      <c r="AK843" t="str" cm="1">
        <f t="array" ref="AK843">_xlfn.IFS(A843&lt;25,"UNDER 25",A843&lt;=34,"25-34",A843&lt;=44,"35-44",A843&lt;=54,"45-54",TRUE,"OVER 55")</f>
        <v>UNDER 25</v>
      </c>
    </row>
    <row r="844" spans="1:37"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f t="shared" si="13"/>
        <v>1</v>
      </c>
      <c r="AK844" t="str" cm="1">
        <f t="array" ref="AK844">_xlfn.IFS(A844&lt;25,"UNDER 25",A844&lt;=34,"25-34",A844&lt;=44,"35-44",A844&lt;=54,"45-54",TRUE,"OVER 55")</f>
        <v>25-34</v>
      </c>
    </row>
    <row r="845" spans="1:37"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f t="shared" si="13"/>
        <v>0</v>
      </c>
      <c r="AK845" t="str" cm="1">
        <f t="array" ref="AK845">_xlfn.IFS(A845&lt;25,"UNDER 25",A845&lt;=34,"25-34",A845&lt;=44,"35-44",A845&lt;=54,"45-54",TRUE,"OVER 55")</f>
        <v>25-34</v>
      </c>
    </row>
    <row r="846" spans="1:37"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f t="shared" si="13"/>
        <v>0</v>
      </c>
      <c r="AK846" t="str" cm="1">
        <f t="array" ref="AK846">_xlfn.IFS(A846&lt;25,"UNDER 25",A846&lt;=34,"25-34",A846&lt;=44,"35-44",A846&lt;=54,"45-54",TRUE,"OVER 55")</f>
        <v>25-34</v>
      </c>
    </row>
    <row r="847" spans="1:37"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f t="shared" si="13"/>
        <v>0</v>
      </c>
      <c r="AK847" t="str" cm="1">
        <f t="array" ref="AK847">_xlfn.IFS(A847&lt;25,"UNDER 25",A847&lt;=34,"25-34",A847&lt;=44,"35-44",A847&lt;=54,"45-54",TRUE,"OVER 55")</f>
        <v>35-44</v>
      </c>
    </row>
    <row r="848" spans="1:37"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f t="shared" si="13"/>
        <v>0</v>
      </c>
      <c r="AK848" t="str" cm="1">
        <f t="array" ref="AK848">_xlfn.IFS(A848&lt;25,"UNDER 25",A848&lt;=34,"25-34",A848&lt;=44,"35-44",A848&lt;=54,"45-54",TRUE,"OVER 55")</f>
        <v>35-44</v>
      </c>
    </row>
    <row r="849" spans="1:37"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f t="shared" si="13"/>
        <v>0</v>
      </c>
      <c r="AK849" t="str" cm="1">
        <f t="array" ref="AK849">_xlfn.IFS(A849&lt;25,"UNDER 25",A849&lt;=34,"25-34",A849&lt;=44,"35-44",A849&lt;=54,"45-54",TRUE,"OVER 55")</f>
        <v>25-34</v>
      </c>
    </row>
    <row r="850" spans="1:37"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f t="shared" si="13"/>
        <v>0</v>
      </c>
      <c r="AK850" t="str" cm="1">
        <f t="array" ref="AK850">_xlfn.IFS(A850&lt;25,"UNDER 25",A850&lt;=34,"25-34",A850&lt;=44,"35-44",A850&lt;=54,"45-54",TRUE,"OVER 55")</f>
        <v>35-44</v>
      </c>
    </row>
    <row r="851" spans="1:37"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f t="shared" si="13"/>
        <v>1</v>
      </c>
      <c r="AK851" t="str" cm="1">
        <f t="array" ref="AK851">_xlfn.IFS(A851&lt;25,"UNDER 25",A851&lt;=34,"25-34",A851&lt;=44,"35-44",A851&lt;=54,"45-54",TRUE,"OVER 55")</f>
        <v>35-44</v>
      </c>
    </row>
    <row r="852" spans="1:37"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f t="shared" si="13"/>
        <v>0</v>
      </c>
      <c r="AK852" t="str" cm="1">
        <f t="array" ref="AK852">_xlfn.IFS(A852&lt;25,"UNDER 25",A852&lt;=34,"25-34",A852&lt;=44,"35-44",A852&lt;=54,"45-54",TRUE,"OVER 55")</f>
        <v>25-34</v>
      </c>
    </row>
    <row r="853" spans="1:37"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f t="shared" si="13"/>
        <v>0</v>
      </c>
      <c r="AK853" t="str" cm="1">
        <f t="array" ref="AK853">_xlfn.IFS(A853&lt;25,"UNDER 25",A853&lt;=34,"25-34",A853&lt;=44,"35-44",A853&lt;=54,"45-54",TRUE,"OVER 55")</f>
        <v>OVER 55</v>
      </c>
    </row>
    <row r="854" spans="1:37"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f t="shared" si="13"/>
        <v>0</v>
      </c>
      <c r="AK854" t="str" cm="1">
        <f t="array" ref="AK854">_xlfn.IFS(A854&lt;25,"UNDER 25",A854&lt;=34,"25-34",A854&lt;=44,"35-44",A854&lt;=54,"45-54",TRUE,"OVER 55")</f>
        <v>25-34</v>
      </c>
    </row>
    <row r="855" spans="1:37"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f t="shared" si="13"/>
        <v>0</v>
      </c>
      <c r="AK855" t="str" cm="1">
        <f t="array" ref="AK855">_xlfn.IFS(A855&lt;25,"UNDER 25",A855&lt;=34,"25-34",A855&lt;=44,"35-44",A855&lt;=54,"45-54",TRUE,"OVER 55")</f>
        <v>UNDER 25</v>
      </c>
    </row>
    <row r="856" spans="1:37"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f t="shared" si="13"/>
        <v>0</v>
      </c>
      <c r="AK856" t="str" cm="1">
        <f t="array" ref="AK856">_xlfn.IFS(A856&lt;25,"UNDER 25",A856&lt;=34,"25-34",A856&lt;=44,"35-44",A856&lt;=54,"45-54",TRUE,"OVER 55")</f>
        <v>45-54</v>
      </c>
    </row>
    <row r="857" spans="1:37"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f t="shared" si="13"/>
        <v>0</v>
      </c>
      <c r="AK857" t="str" cm="1">
        <f t="array" ref="AK857">_xlfn.IFS(A857&lt;25,"UNDER 25",A857&lt;=34,"25-34",A857&lt;=44,"35-44",A857&lt;=54,"45-54",TRUE,"OVER 55")</f>
        <v>35-44</v>
      </c>
    </row>
    <row r="858" spans="1:37"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f t="shared" si="13"/>
        <v>0</v>
      </c>
      <c r="AK858" t="str" cm="1">
        <f t="array" ref="AK858">_xlfn.IFS(A858&lt;25,"UNDER 25",A858&lt;=34,"25-34",A858&lt;=44,"35-44",A858&lt;=54,"45-54",TRUE,"OVER 55")</f>
        <v>UNDER 25</v>
      </c>
    </row>
    <row r="859" spans="1:37"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f t="shared" si="13"/>
        <v>1</v>
      </c>
      <c r="AK859" t="str" cm="1">
        <f t="array" ref="AK859">_xlfn.IFS(A859&lt;25,"UNDER 25",A859&lt;=34,"25-34",A859&lt;=44,"35-44",A859&lt;=54,"45-54",TRUE,"OVER 55")</f>
        <v>35-44</v>
      </c>
    </row>
    <row r="860" spans="1:37"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f t="shared" si="13"/>
        <v>0</v>
      </c>
      <c r="AK860" t="str" cm="1">
        <f t="array" ref="AK860">_xlfn.IFS(A860&lt;25,"UNDER 25",A860&lt;=34,"25-34",A860&lt;=44,"35-44",A860&lt;=54,"45-54",TRUE,"OVER 55")</f>
        <v>45-54</v>
      </c>
    </row>
    <row r="861" spans="1:37"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f t="shared" si="13"/>
        <v>0</v>
      </c>
      <c r="AK861" t="str" cm="1">
        <f t="array" ref="AK861">_xlfn.IFS(A861&lt;25,"UNDER 25",A861&lt;=34,"25-34",A861&lt;=44,"35-44",A861&lt;=54,"45-54",TRUE,"OVER 55")</f>
        <v>25-34</v>
      </c>
    </row>
    <row r="862" spans="1:37"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f t="shared" si="13"/>
        <v>1</v>
      </c>
      <c r="AK862" t="str" cm="1">
        <f t="array" ref="AK862">_xlfn.IFS(A862&lt;25,"UNDER 25",A862&lt;=34,"25-34",A862&lt;=44,"35-44",A862&lt;=54,"45-54",TRUE,"OVER 55")</f>
        <v>UNDER 25</v>
      </c>
    </row>
    <row r="863" spans="1:37"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f t="shared" si="13"/>
        <v>0</v>
      </c>
      <c r="AK863" t="str" cm="1">
        <f t="array" ref="AK863">_xlfn.IFS(A863&lt;25,"UNDER 25",A863&lt;=34,"25-34",A863&lt;=44,"35-44",A863&lt;=54,"45-54",TRUE,"OVER 55")</f>
        <v>45-54</v>
      </c>
    </row>
    <row r="864" spans="1:37"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f t="shared" si="13"/>
        <v>0</v>
      </c>
      <c r="AK864" t="str" cm="1">
        <f t="array" ref="AK864">_xlfn.IFS(A864&lt;25,"UNDER 25",A864&lt;=34,"25-34",A864&lt;=44,"35-44",A864&lt;=54,"45-54",TRUE,"OVER 55")</f>
        <v>35-44</v>
      </c>
    </row>
    <row r="865" spans="1:37"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f t="shared" si="13"/>
        <v>0</v>
      </c>
      <c r="AK865" t="str" cm="1">
        <f t="array" ref="AK865">_xlfn.IFS(A865&lt;25,"UNDER 25",A865&lt;=34,"25-34",A865&lt;=44,"35-44",A865&lt;=54,"45-54",TRUE,"OVER 55")</f>
        <v>25-34</v>
      </c>
    </row>
    <row r="866" spans="1:37"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f t="shared" si="13"/>
        <v>1</v>
      </c>
      <c r="AK866" t="str" cm="1">
        <f t="array" ref="AK866">_xlfn.IFS(A866&lt;25,"UNDER 25",A866&lt;=34,"25-34",A866&lt;=44,"35-44",A866&lt;=54,"45-54",TRUE,"OVER 55")</f>
        <v>35-44</v>
      </c>
    </row>
    <row r="867" spans="1:37"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f t="shared" si="13"/>
        <v>0</v>
      </c>
      <c r="AK867" t="str" cm="1">
        <f t="array" ref="AK867">_xlfn.IFS(A867&lt;25,"UNDER 25",A867&lt;=34,"25-34",A867&lt;=44,"35-44",A867&lt;=54,"45-54",TRUE,"OVER 55")</f>
        <v>25-34</v>
      </c>
    </row>
    <row r="868" spans="1:37"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f t="shared" si="13"/>
        <v>0</v>
      </c>
      <c r="AK868" t="str" cm="1">
        <f t="array" ref="AK868">_xlfn.IFS(A868&lt;25,"UNDER 25",A868&lt;=34,"25-34",A868&lt;=44,"35-44",A868&lt;=54,"45-54",TRUE,"OVER 55")</f>
        <v>35-44</v>
      </c>
    </row>
    <row r="869" spans="1:37"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f t="shared" si="13"/>
        <v>0</v>
      </c>
      <c r="AK869" t="str" cm="1">
        <f t="array" ref="AK869">_xlfn.IFS(A869&lt;25,"UNDER 25",A869&lt;=34,"25-34",A869&lt;=44,"35-44",A869&lt;=54,"45-54",TRUE,"OVER 55")</f>
        <v>45-54</v>
      </c>
    </row>
    <row r="870" spans="1:37"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f t="shared" si="13"/>
        <v>0</v>
      </c>
      <c r="AK870" t="str" cm="1">
        <f t="array" ref="AK870">_xlfn.IFS(A870&lt;25,"UNDER 25",A870&lt;=34,"25-34",A870&lt;=44,"35-44",A870&lt;=54,"45-54",TRUE,"OVER 55")</f>
        <v>25-34</v>
      </c>
    </row>
    <row r="871" spans="1:37"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f t="shared" si="13"/>
        <v>0</v>
      </c>
      <c r="AK871" t="str" cm="1">
        <f t="array" ref="AK871">_xlfn.IFS(A871&lt;25,"UNDER 25",A871&lt;=34,"25-34",A871&lt;=44,"35-44",A871&lt;=54,"45-54",TRUE,"OVER 55")</f>
        <v>45-54</v>
      </c>
    </row>
    <row r="872" spans="1:37"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f t="shared" si="13"/>
        <v>0</v>
      </c>
      <c r="AK872" t="str" cm="1">
        <f t="array" ref="AK872">_xlfn.IFS(A872&lt;25,"UNDER 25",A872&lt;=34,"25-34",A872&lt;=44,"35-44",A872&lt;=54,"45-54",TRUE,"OVER 55")</f>
        <v>35-44</v>
      </c>
    </row>
    <row r="873" spans="1:37"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f t="shared" si="13"/>
        <v>1</v>
      </c>
      <c r="AK873" t="str" cm="1">
        <f t="array" ref="AK873">_xlfn.IFS(A873&lt;25,"UNDER 25",A873&lt;=34,"25-34",A873&lt;=44,"35-44",A873&lt;=54,"45-54",TRUE,"OVER 55")</f>
        <v>UNDER 25</v>
      </c>
    </row>
    <row r="874" spans="1:37"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f t="shared" si="13"/>
        <v>0</v>
      </c>
      <c r="AK874" t="str" cm="1">
        <f t="array" ref="AK874">_xlfn.IFS(A874&lt;25,"UNDER 25",A874&lt;=34,"25-34",A874&lt;=44,"35-44",A874&lt;=54,"45-54",TRUE,"OVER 55")</f>
        <v>25-34</v>
      </c>
    </row>
    <row r="875" spans="1:37"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f t="shared" si="13"/>
        <v>0</v>
      </c>
      <c r="AK875" t="str" cm="1">
        <f t="array" ref="AK875">_xlfn.IFS(A875&lt;25,"UNDER 25",A875&lt;=34,"25-34",A875&lt;=44,"35-44",A875&lt;=54,"45-54",TRUE,"OVER 55")</f>
        <v>35-44</v>
      </c>
    </row>
    <row r="876" spans="1:37"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f t="shared" si="13"/>
        <v>0</v>
      </c>
      <c r="AK876" t="str" cm="1">
        <f t="array" ref="AK876">_xlfn.IFS(A876&lt;25,"UNDER 25",A876&lt;=34,"25-34",A876&lt;=44,"35-44",A876&lt;=54,"45-54",TRUE,"OVER 55")</f>
        <v>25-34</v>
      </c>
    </row>
    <row r="877" spans="1:37"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f t="shared" si="13"/>
        <v>0</v>
      </c>
      <c r="AK877" t="str" cm="1">
        <f t="array" ref="AK877">_xlfn.IFS(A877&lt;25,"UNDER 25",A877&lt;=34,"25-34",A877&lt;=44,"35-44",A877&lt;=54,"45-54",TRUE,"OVER 55")</f>
        <v>35-44</v>
      </c>
    </row>
    <row r="878" spans="1:37"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f t="shared" si="13"/>
        <v>0</v>
      </c>
      <c r="AK878" t="str" cm="1">
        <f t="array" ref="AK878">_xlfn.IFS(A878&lt;25,"UNDER 25",A878&lt;=34,"25-34",A878&lt;=44,"35-44",A878&lt;=54,"45-54",TRUE,"OVER 55")</f>
        <v>UNDER 25</v>
      </c>
    </row>
    <row r="879" spans="1:37"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f t="shared" si="13"/>
        <v>0</v>
      </c>
      <c r="AK879" t="str" cm="1">
        <f t="array" ref="AK879">_xlfn.IFS(A879&lt;25,"UNDER 25",A879&lt;=34,"25-34",A879&lt;=44,"35-44",A879&lt;=54,"45-54",TRUE,"OVER 55")</f>
        <v>45-54</v>
      </c>
    </row>
    <row r="880" spans="1:37"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f t="shared" si="13"/>
        <v>0</v>
      </c>
      <c r="AK880" t="str" cm="1">
        <f t="array" ref="AK880">_xlfn.IFS(A880&lt;25,"UNDER 25",A880&lt;=34,"25-34",A880&lt;=44,"35-44",A880&lt;=54,"45-54",TRUE,"OVER 55")</f>
        <v>35-44</v>
      </c>
    </row>
    <row r="881" spans="1:37"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f t="shared" si="13"/>
        <v>0</v>
      </c>
      <c r="AK881" t="str" cm="1">
        <f t="array" ref="AK881">_xlfn.IFS(A881&lt;25,"UNDER 25",A881&lt;=34,"25-34",A881&lt;=44,"35-44",A881&lt;=54,"45-54",TRUE,"OVER 55")</f>
        <v>OVER 55</v>
      </c>
    </row>
    <row r="882" spans="1:37"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f t="shared" si="13"/>
        <v>0</v>
      </c>
      <c r="AK882" t="str" cm="1">
        <f t="array" ref="AK882">_xlfn.IFS(A882&lt;25,"UNDER 25",A882&lt;=34,"25-34",A882&lt;=44,"35-44",A882&lt;=54,"45-54",TRUE,"OVER 55")</f>
        <v>25-34</v>
      </c>
    </row>
    <row r="883" spans="1:37"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f t="shared" si="13"/>
        <v>0</v>
      </c>
      <c r="AK883" t="str" cm="1">
        <f t="array" ref="AK883">_xlfn.IFS(A883&lt;25,"UNDER 25",A883&lt;=34,"25-34",A883&lt;=44,"35-44",A883&lt;=54,"45-54",TRUE,"OVER 55")</f>
        <v>25-34</v>
      </c>
    </row>
    <row r="884" spans="1:37"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f t="shared" si="13"/>
        <v>0</v>
      </c>
      <c r="AK884" t="str" cm="1">
        <f t="array" ref="AK884">_xlfn.IFS(A884&lt;25,"UNDER 25",A884&lt;=34,"25-34",A884&lt;=44,"35-44",A884&lt;=54,"45-54",TRUE,"OVER 55")</f>
        <v>35-44</v>
      </c>
    </row>
    <row r="885" spans="1:37"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f t="shared" si="13"/>
        <v>0</v>
      </c>
      <c r="AK885" t="str" cm="1">
        <f t="array" ref="AK885">_xlfn.IFS(A885&lt;25,"UNDER 25",A885&lt;=34,"25-34",A885&lt;=44,"35-44",A885&lt;=54,"45-54",TRUE,"OVER 55")</f>
        <v>25-34</v>
      </c>
    </row>
    <row r="886" spans="1:37"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f t="shared" si="13"/>
        <v>0</v>
      </c>
      <c r="AK886" t="str" cm="1">
        <f t="array" ref="AK886">_xlfn.IFS(A886&lt;25,"UNDER 25",A886&lt;=34,"25-34",A886&lt;=44,"35-44",A886&lt;=54,"45-54",TRUE,"OVER 55")</f>
        <v>35-44</v>
      </c>
    </row>
    <row r="887" spans="1:37"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f t="shared" si="13"/>
        <v>0</v>
      </c>
      <c r="AK887" t="str" cm="1">
        <f t="array" ref="AK887">_xlfn.IFS(A887&lt;25,"UNDER 25",A887&lt;=34,"25-34",A887&lt;=44,"35-44",A887&lt;=54,"45-54",TRUE,"OVER 55")</f>
        <v>25-34</v>
      </c>
    </row>
    <row r="888" spans="1:37"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f t="shared" si="13"/>
        <v>0</v>
      </c>
      <c r="AK888" t="str" cm="1">
        <f t="array" ref="AK888">_xlfn.IFS(A888&lt;25,"UNDER 25",A888&lt;=34,"25-34",A888&lt;=44,"35-44",A888&lt;=54,"45-54",TRUE,"OVER 55")</f>
        <v>25-34</v>
      </c>
    </row>
    <row r="889" spans="1:37"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f t="shared" si="13"/>
        <v>0</v>
      </c>
      <c r="AK889" t="str" cm="1">
        <f t="array" ref="AK889">_xlfn.IFS(A889&lt;25,"UNDER 25",A889&lt;=34,"25-34",A889&lt;=44,"35-44",A889&lt;=54,"45-54",TRUE,"OVER 55")</f>
        <v>35-44</v>
      </c>
    </row>
    <row r="890" spans="1:37"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f t="shared" si="13"/>
        <v>0</v>
      </c>
      <c r="AK890" t="str" cm="1">
        <f t="array" ref="AK890">_xlfn.IFS(A890&lt;25,"UNDER 25",A890&lt;=34,"25-34",A890&lt;=44,"35-44",A890&lt;=54,"45-54",TRUE,"OVER 55")</f>
        <v>35-44</v>
      </c>
    </row>
    <row r="891" spans="1:37"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f t="shared" si="13"/>
        <v>0</v>
      </c>
      <c r="AK891" t="str" cm="1">
        <f t="array" ref="AK891">_xlfn.IFS(A891&lt;25,"UNDER 25",A891&lt;=34,"25-34",A891&lt;=44,"35-44",A891&lt;=54,"45-54",TRUE,"OVER 55")</f>
        <v>25-34</v>
      </c>
    </row>
    <row r="892" spans="1:37"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f t="shared" si="13"/>
        <v>0</v>
      </c>
      <c r="AK892" t="str" cm="1">
        <f t="array" ref="AK892">_xlfn.IFS(A892&lt;25,"UNDER 25",A892&lt;=34,"25-34",A892&lt;=44,"35-44",A892&lt;=54,"45-54",TRUE,"OVER 55")</f>
        <v>45-54</v>
      </c>
    </row>
    <row r="893" spans="1:37"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f t="shared" si="13"/>
        <v>0</v>
      </c>
      <c r="AK893" t="str" cm="1">
        <f t="array" ref="AK893">_xlfn.IFS(A893&lt;25,"UNDER 25",A893&lt;=34,"25-34",A893&lt;=44,"35-44",A893&lt;=54,"45-54",TRUE,"OVER 55")</f>
        <v>35-44</v>
      </c>
    </row>
    <row r="894" spans="1:37"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f t="shared" si="13"/>
        <v>1</v>
      </c>
      <c r="AK894" t="str" cm="1">
        <f t="array" ref="AK894">_xlfn.IFS(A894&lt;25,"UNDER 25",A894&lt;=34,"25-34",A894&lt;=44,"35-44",A894&lt;=54,"45-54",TRUE,"OVER 55")</f>
        <v>UNDER 25</v>
      </c>
    </row>
    <row r="895" spans="1:37"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f t="shared" si="13"/>
        <v>0</v>
      </c>
      <c r="AK895" t="str" cm="1">
        <f t="array" ref="AK895">_xlfn.IFS(A895&lt;25,"UNDER 25",A895&lt;=34,"25-34",A895&lt;=44,"35-44",A895&lt;=54,"45-54",TRUE,"OVER 55")</f>
        <v>25-34</v>
      </c>
    </row>
    <row r="896" spans="1:37"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f t="shared" si="13"/>
        <v>0</v>
      </c>
      <c r="AK896" t="str" cm="1">
        <f t="array" ref="AK896">_xlfn.IFS(A896&lt;25,"UNDER 25",A896&lt;=34,"25-34",A896&lt;=44,"35-44",A896&lt;=54,"45-54",TRUE,"OVER 55")</f>
        <v>45-54</v>
      </c>
    </row>
    <row r="897" spans="1:37"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f t="shared" si="13"/>
        <v>0</v>
      </c>
      <c r="AK897" t="str" cm="1">
        <f t="array" ref="AK897">_xlfn.IFS(A897&lt;25,"UNDER 25",A897&lt;=34,"25-34",A897&lt;=44,"35-44",A897&lt;=54,"45-54",TRUE,"OVER 55")</f>
        <v>25-34</v>
      </c>
    </row>
    <row r="898" spans="1:37"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f t="shared" si="13"/>
        <v>0</v>
      </c>
      <c r="AK898" t="str" cm="1">
        <f t="array" ref="AK898">_xlfn.IFS(A898&lt;25,"UNDER 25",A898&lt;=34,"25-34",A898&lt;=44,"35-44",A898&lt;=54,"45-54",TRUE,"OVER 55")</f>
        <v>25-34</v>
      </c>
    </row>
    <row r="899" spans="1:37"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f t="shared" ref="AJ899:AJ962" si="14">IF(B899="yes",1,0)</f>
        <v>0</v>
      </c>
      <c r="AK899" t="str" cm="1">
        <f t="array" ref="AK899">_xlfn.IFS(A899&lt;25,"UNDER 25",A899&lt;=34,"25-34",A899&lt;=44,"35-44",A899&lt;=54,"45-54",TRUE,"OVER 55")</f>
        <v>OVER 55</v>
      </c>
    </row>
    <row r="900" spans="1:37"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f t="shared" si="14"/>
        <v>0</v>
      </c>
      <c r="AK900" t="str" cm="1">
        <f t="array" ref="AK900">_xlfn.IFS(A900&lt;25,"UNDER 25",A900&lt;=34,"25-34",A900&lt;=44,"35-44",A900&lt;=54,"45-54",TRUE,"OVER 55")</f>
        <v>35-44</v>
      </c>
    </row>
    <row r="901" spans="1:37"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f t="shared" si="14"/>
        <v>0</v>
      </c>
      <c r="AK901" t="str" cm="1">
        <f t="array" ref="AK901">_xlfn.IFS(A901&lt;25,"UNDER 25",A901&lt;=34,"25-34",A901&lt;=44,"35-44",A901&lt;=54,"45-54",TRUE,"OVER 55")</f>
        <v>45-54</v>
      </c>
    </row>
    <row r="902" spans="1:37"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f t="shared" si="14"/>
        <v>0</v>
      </c>
      <c r="AK902" t="str" cm="1">
        <f t="array" ref="AK902">_xlfn.IFS(A902&lt;25,"UNDER 25",A902&lt;=34,"25-34",A902&lt;=44,"35-44",A902&lt;=54,"45-54",TRUE,"OVER 55")</f>
        <v>35-44</v>
      </c>
    </row>
    <row r="903" spans="1:37"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f t="shared" si="14"/>
        <v>0</v>
      </c>
      <c r="AK903" t="str" cm="1">
        <f t="array" ref="AK903">_xlfn.IFS(A903&lt;25,"UNDER 25",A903&lt;=34,"25-34",A903&lt;=44,"35-44",A903&lt;=54,"45-54",TRUE,"OVER 55")</f>
        <v>45-54</v>
      </c>
    </row>
    <row r="904" spans="1:37"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f t="shared" si="14"/>
        <v>0</v>
      </c>
      <c r="AK904" t="str" cm="1">
        <f t="array" ref="AK904">_xlfn.IFS(A904&lt;25,"UNDER 25",A904&lt;=34,"25-34",A904&lt;=44,"35-44",A904&lt;=54,"45-54",TRUE,"OVER 55")</f>
        <v>25-34</v>
      </c>
    </row>
    <row r="905" spans="1:37"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f t="shared" si="14"/>
        <v>0</v>
      </c>
      <c r="AK905" t="str" cm="1">
        <f t="array" ref="AK905">_xlfn.IFS(A905&lt;25,"UNDER 25",A905&lt;=34,"25-34",A905&lt;=44,"35-44",A905&lt;=54,"45-54",TRUE,"OVER 55")</f>
        <v>25-34</v>
      </c>
    </row>
    <row r="906" spans="1:37"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f t="shared" si="14"/>
        <v>0</v>
      </c>
      <c r="AK906" t="str" cm="1">
        <f t="array" ref="AK906">_xlfn.IFS(A906&lt;25,"UNDER 25",A906&lt;=34,"25-34",A906&lt;=44,"35-44",A906&lt;=54,"45-54",TRUE,"OVER 55")</f>
        <v>45-54</v>
      </c>
    </row>
    <row r="907" spans="1:37"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f t="shared" si="14"/>
        <v>0</v>
      </c>
      <c r="AK907" t="str" cm="1">
        <f t="array" ref="AK907">_xlfn.IFS(A907&lt;25,"UNDER 25",A907&lt;=34,"25-34",A907&lt;=44,"35-44",A907&lt;=54,"45-54",TRUE,"OVER 55")</f>
        <v>25-34</v>
      </c>
    </row>
    <row r="908" spans="1:37"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f t="shared" si="14"/>
        <v>0</v>
      </c>
      <c r="AK908" t="str" cm="1">
        <f t="array" ref="AK908">_xlfn.IFS(A908&lt;25,"UNDER 25",A908&lt;=34,"25-34",A908&lt;=44,"35-44",A908&lt;=54,"45-54",TRUE,"OVER 55")</f>
        <v>25-34</v>
      </c>
    </row>
    <row r="909" spans="1:37"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f t="shared" si="14"/>
        <v>0</v>
      </c>
      <c r="AK909" t="str" cm="1">
        <f t="array" ref="AK909">_xlfn.IFS(A909&lt;25,"UNDER 25",A909&lt;=34,"25-34",A909&lt;=44,"35-44",A909&lt;=54,"45-54",TRUE,"OVER 55")</f>
        <v>35-44</v>
      </c>
    </row>
    <row r="910" spans="1:37"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f t="shared" si="14"/>
        <v>0</v>
      </c>
      <c r="AK910" t="str" cm="1">
        <f t="array" ref="AK910">_xlfn.IFS(A910&lt;25,"UNDER 25",A910&lt;=34,"25-34",A910&lt;=44,"35-44",A910&lt;=54,"45-54",TRUE,"OVER 55")</f>
        <v>25-34</v>
      </c>
    </row>
    <row r="911" spans="1:37"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f t="shared" si="14"/>
        <v>0</v>
      </c>
      <c r="AK911" t="str" cm="1">
        <f t="array" ref="AK911">_xlfn.IFS(A911&lt;25,"UNDER 25",A911&lt;=34,"25-34",A911&lt;=44,"35-44",A911&lt;=54,"45-54",TRUE,"OVER 55")</f>
        <v>UNDER 25</v>
      </c>
    </row>
    <row r="912" spans="1:37"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f t="shared" si="14"/>
        <v>0</v>
      </c>
      <c r="AK912" t="str" cm="1">
        <f t="array" ref="AK912">_xlfn.IFS(A912&lt;25,"UNDER 25",A912&lt;=34,"25-34",A912&lt;=44,"35-44",A912&lt;=54,"45-54",TRUE,"OVER 55")</f>
        <v>UNDER 25</v>
      </c>
    </row>
    <row r="913" spans="1:37"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f t="shared" si="14"/>
        <v>1</v>
      </c>
      <c r="AK913" t="str" cm="1">
        <f t="array" ref="AK913">_xlfn.IFS(A913&lt;25,"UNDER 25",A913&lt;=34,"25-34",A913&lt;=44,"35-44",A913&lt;=54,"45-54",TRUE,"OVER 55")</f>
        <v>25-34</v>
      </c>
    </row>
    <row r="914" spans="1:37"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f t="shared" si="14"/>
        <v>0</v>
      </c>
      <c r="AK914" t="str" cm="1">
        <f t="array" ref="AK914">_xlfn.IFS(A914&lt;25,"UNDER 25",A914&lt;=34,"25-34",A914&lt;=44,"35-44",A914&lt;=54,"45-54",TRUE,"OVER 55")</f>
        <v>25-34</v>
      </c>
    </row>
    <row r="915" spans="1:37"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f t="shared" si="14"/>
        <v>1</v>
      </c>
      <c r="AK915" t="str" cm="1">
        <f t="array" ref="AK915">_xlfn.IFS(A915&lt;25,"UNDER 25",A915&lt;=34,"25-34",A915&lt;=44,"35-44",A915&lt;=54,"45-54",TRUE,"OVER 55")</f>
        <v>45-54</v>
      </c>
    </row>
    <row r="916" spans="1:37"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f t="shared" si="14"/>
        <v>0</v>
      </c>
      <c r="AK916" t="str" cm="1">
        <f t="array" ref="AK916">_xlfn.IFS(A916&lt;25,"UNDER 25",A916&lt;=34,"25-34",A916&lt;=44,"35-44",A916&lt;=54,"45-54",TRUE,"OVER 55")</f>
        <v>OVER 55</v>
      </c>
    </row>
    <row r="917" spans="1:37"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f t="shared" si="14"/>
        <v>1</v>
      </c>
      <c r="AK917" t="str" cm="1">
        <f t="array" ref="AK917">_xlfn.IFS(A917&lt;25,"UNDER 25",A917&lt;=34,"25-34",A917&lt;=44,"35-44",A917&lt;=54,"45-54",TRUE,"OVER 55")</f>
        <v>UNDER 25</v>
      </c>
    </row>
    <row r="918" spans="1:37"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f t="shared" si="14"/>
        <v>0</v>
      </c>
      <c r="AK918" t="str" cm="1">
        <f t="array" ref="AK918">_xlfn.IFS(A918&lt;25,"UNDER 25",A918&lt;=34,"25-34",A918&lt;=44,"35-44",A918&lt;=54,"45-54",TRUE,"OVER 55")</f>
        <v>45-54</v>
      </c>
    </row>
    <row r="919" spans="1:37"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f t="shared" si="14"/>
        <v>0</v>
      </c>
      <c r="AK919" t="str" cm="1">
        <f t="array" ref="AK919">_xlfn.IFS(A919&lt;25,"UNDER 25",A919&lt;=34,"25-34",A919&lt;=44,"35-44",A919&lt;=54,"45-54",TRUE,"OVER 55")</f>
        <v>25-34</v>
      </c>
    </row>
    <row r="920" spans="1:37"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f t="shared" si="14"/>
        <v>0</v>
      </c>
      <c r="AK920" t="str" cm="1">
        <f t="array" ref="AK920">_xlfn.IFS(A920&lt;25,"UNDER 25",A920&lt;=34,"25-34",A920&lt;=44,"35-44",A920&lt;=54,"45-54",TRUE,"OVER 55")</f>
        <v>45-54</v>
      </c>
    </row>
    <row r="921" spans="1:37"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f t="shared" si="14"/>
        <v>0</v>
      </c>
      <c r="AK921" t="str" cm="1">
        <f t="array" ref="AK921">_xlfn.IFS(A921&lt;25,"UNDER 25",A921&lt;=34,"25-34",A921&lt;=44,"35-44",A921&lt;=54,"45-54",TRUE,"OVER 55")</f>
        <v>OVER 55</v>
      </c>
    </row>
    <row r="922" spans="1:37"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f t="shared" si="14"/>
        <v>0</v>
      </c>
      <c r="AK922" t="str" cm="1">
        <f t="array" ref="AK922">_xlfn.IFS(A922&lt;25,"UNDER 25",A922&lt;=34,"25-34",A922&lt;=44,"35-44",A922&lt;=54,"45-54",TRUE,"OVER 55")</f>
        <v>25-34</v>
      </c>
    </row>
    <row r="923" spans="1:37"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f t="shared" si="14"/>
        <v>0</v>
      </c>
      <c r="AK923" t="str" cm="1">
        <f t="array" ref="AK923">_xlfn.IFS(A923&lt;25,"UNDER 25",A923&lt;=34,"25-34",A923&lt;=44,"35-44",A923&lt;=54,"45-54",TRUE,"OVER 55")</f>
        <v>25-34</v>
      </c>
    </row>
    <row r="924" spans="1:37"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f t="shared" si="14"/>
        <v>0</v>
      </c>
      <c r="AK924" t="str" cm="1">
        <f t="array" ref="AK924">_xlfn.IFS(A924&lt;25,"UNDER 25",A924&lt;=34,"25-34",A924&lt;=44,"35-44",A924&lt;=54,"45-54",TRUE,"OVER 55")</f>
        <v>35-44</v>
      </c>
    </row>
    <row r="925" spans="1:37"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f t="shared" si="14"/>
        <v>0</v>
      </c>
      <c r="AK925" t="str" cm="1">
        <f t="array" ref="AK925">_xlfn.IFS(A925&lt;25,"UNDER 25",A925&lt;=34,"25-34",A925&lt;=44,"35-44",A925&lt;=54,"45-54",TRUE,"OVER 55")</f>
        <v>25-34</v>
      </c>
    </row>
    <row r="926" spans="1:37"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f t="shared" si="14"/>
        <v>0</v>
      </c>
      <c r="AK926" t="str" cm="1">
        <f t="array" ref="AK926">_xlfn.IFS(A926&lt;25,"UNDER 25",A926&lt;=34,"25-34",A926&lt;=44,"35-44",A926&lt;=54,"45-54",TRUE,"OVER 55")</f>
        <v>35-44</v>
      </c>
    </row>
    <row r="927" spans="1:37"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f t="shared" si="14"/>
        <v>0</v>
      </c>
      <c r="AK927" t="str" cm="1">
        <f t="array" ref="AK927">_xlfn.IFS(A927&lt;25,"UNDER 25",A927&lt;=34,"25-34",A927&lt;=44,"35-44",A927&lt;=54,"45-54",TRUE,"OVER 55")</f>
        <v>35-44</v>
      </c>
    </row>
    <row r="928" spans="1:37"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f t="shared" si="14"/>
        <v>0</v>
      </c>
      <c r="AK928" t="str" cm="1">
        <f t="array" ref="AK928">_xlfn.IFS(A928&lt;25,"UNDER 25",A928&lt;=34,"25-34",A928&lt;=44,"35-44",A928&lt;=54,"45-54",TRUE,"OVER 55")</f>
        <v>35-44</v>
      </c>
    </row>
    <row r="929" spans="1:37"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f t="shared" si="14"/>
        <v>0</v>
      </c>
      <c r="AK929" t="str" cm="1">
        <f t="array" ref="AK929">_xlfn.IFS(A929&lt;25,"UNDER 25",A929&lt;=34,"25-34",A929&lt;=44,"35-44",A929&lt;=54,"45-54",TRUE,"OVER 55")</f>
        <v>35-44</v>
      </c>
    </row>
    <row r="930" spans="1:37"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f t="shared" si="14"/>
        <v>1</v>
      </c>
      <c r="AK930" t="str" cm="1">
        <f t="array" ref="AK930">_xlfn.IFS(A930&lt;25,"UNDER 25",A930&lt;=34,"25-34",A930&lt;=44,"35-44",A930&lt;=54,"45-54",TRUE,"OVER 55")</f>
        <v>35-44</v>
      </c>
    </row>
    <row r="931" spans="1:37"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f t="shared" si="14"/>
        <v>0</v>
      </c>
      <c r="AK931" t="str" cm="1">
        <f t="array" ref="AK931">_xlfn.IFS(A931&lt;25,"UNDER 25",A931&lt;=34,"25-34",A931&lt;=44,"35-44",A931&lt;=54,"45-54",TRUE,"OVER 55")</f>
        <v>25-34</v>
      </c>
    </row>
    <row r="932" spans="1:37"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f t="shared" si="14"/>
        <v>0</v>
      </c>
      <c r="AK932" t="str" cm="1">
        <f t="array" ref="AK932">_xlfn.IFS(A932&lt;25,"UNDER 25",A932&lt;=34,"25-34",A932&lt;=44,"35-44",A932&lt;=54,"45-54",TRUE,"OVER 55")</f>
        <v>45-54</v>
      </c>
    </row>
    <row r="933" spans="1:37"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f t="shared" si="14"/>
        <v>0</v>
      </c>
      <c r="AK933" t="str" cm="1">
        <f t="array" ref="AK933">_xlfn.IFS(A933&lt;25,"UNDER 25",A933&lt;=34,"25-34",A933&lt;=44,"35-44",A933&lt;=54,"45-54",TRUE,"OVER 55")</f>
        <v>25-34</v>
      </c>
    </row>
    <row r="934" spans="1:37"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f t="shared" si="14"/>
        <v>1</v>
      </c>
      <c r="AK934" t="str" cm="1">
        <f t="array" ref="AK934">_xlfn.IFS(A934&lt;25,"UNDER 25",A934&lt;=34,"25-34",A934&lt;=44,"35-44",A934&lt;=54,"45-54",TRUE,"OVER 55")</f>
        <v>25-34</v>
      </c>
    </row>
    <row r="935" spans="1:37"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f t="shared" si="14"/>
        <v>0</v>
      </c>
      <c r="AK935" t="str" cm="1">
        <f t="array" ref="AK935">_xlfn.IFS(A935&lt;25,"UNDER 25",A935&lt;=34,"25-34",A935&lt;=44,"35-44",A935&lt;=54,"45-54",TRUE,"OVER 55")</f>
        <v>25-34</v>
      </c>
    </row>
    <row r="936" spans="1:37"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f t="shared" si="14"/>
        <v>0</v>
      </c>
      <c r="AK936" t="str" cm="1">
        <f t="array" ref="AK936">_xlfn.IFS(A936&lt;25,"UNDER 25",A936&lt;=34,"25-34",A936&lt;=44,"35-44",A936&lt;=54,"45-54",TRUE,"OVER 55")</f>
        <v>25-34</v>
      </c>
    </row>
    <row r="937" spans="1:37"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f t="shared" si="14"/>
        <v>0</v>
      </c>
      <c r="AK937" t="str" cm="1">
        <f t="array" ref="AK937">_xlfn.IFS(A937&lt;25,"UNDER 25",A937&lt;=34,"25-34",A937&lt;=44,"35-44",A937&lt;=54,"45-54",TRUE,"OVER 55")</f>
        <v>25-34</v>
      </c>
    </row>
    <row r="938" spans="1:37"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f t="shared" si="14"/>
        <v>0</v>
      </c>
      <c r="AK938" t="str" cm="1">
        <f t="array" ref="AK938">_xlfn.IFS(A938&lt;25,"UNDER 25",A938&lt;=34,"25-34",A938&lt;=44,"35-44",A938&lt;=54,"45-54",TRUE,"OVER 55")</f>
        <v>45-54</v>
      </c>
    </row>
    <row r="939" spans="1:37"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f t="shared" si="14"/>
        <v>0</v>
      </c>
      <c r="AK939" t="str" cm="1">
        <f t="array" ref="AK939">_xlfn.IFS(A939&lt;25,"UNDER 25",A939&lt;=34,"25-34",A939&lt;=44,"35-44",A939&lt;=54,"45-54",TRUE,"OVER 55")</f>
        <v>35-44</v>
      </c>
    </row>
    <row r="940" spans="1:37"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f t="shared" si="14"/>
        <v>0</v>
      </c>
      <c r="AK940" t="str" cm="1">
        <f t="array" ref="AK940">_xlfn.IFS(A940&lt;25,"UNDER 25",A940&lt;=34,"25-34",A940&lt;=44,"35-44",A940&lt;=54,"45-54",TRUE,"OVER 55")</f>
        <v>OVER 55</v>
      </c>
    </row>
    <row r="941" spans="1:37"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f t="shared" si="14"/>
        <v>1</v>
      </c>
      <c r="AK941" t="str" cm="1">
        <f t="array" ref="AK941">_xlfn.IFS(A941&lt;25,"UNDER 25",A941&lt;=34,"25-34",A941&lt;=44,"35-44",A941&lt;=54,"45-54",TRUE,"OVER 55")</f>
        <v>25-34</v>
      </c>
    </row>
    <row r="942" spans="1:37"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f t="shared" si="14"/>
        <v>1</v>
      </c>
      <c r="AK942" t="str" cm="1">
        <f t="array" ref="AK942">_xlfn.IFS(A942&lt;25,"UNDER 25",A942&lt;=34,"25-34",A942&lt;=44,"35-44",A942&lt;=54,"45-54",TRUE,"OVER 55")</f>
        <v>35-44</v>
      </c>
    </row>
    <row r="943" spans="1:37"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f t="shared" si="14"/>
        <v>0</v>
      </c>
      <c r="AK943" t="str" cm="1">
        <f t="array" ref="AK943">_xlfn.IFS(A943&lt;25,"UNDER 25",A943&lt;=34,"25-34",A943&lt;=44,"35-44",A943&lt;=54,"45-54",TRUE,"OVER 55")</f>
        <v>25-34</v>
      </c>
    </row>
    <row r="944" spans="1:37"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f t="shared" si="14"/>
        <v>0</v>
      </c>
      <c r="AK944" t="str" cm="1">
        <f t="array" ref="AK944">_xlfn.IFS(A944&lt;25,"UNDER 25",A944&lt;=34,"25-34",A944&lt;=44,"35-44",A944&lt;=54,"45-54",TRUE,"OVER 55")</f>
        <v>35-44</v>
      </c>
    </row>
    <row r="945" spans="1:37"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f t="shared" si="14"/>
        <v>0</v>
      </c>
      <c r="AK945" t="str" cm="1">
        <f t="array" ref="AK945">_xlfn.IFS(A945&lt;25,"UNDER 25",A945&lt;=34,"25-34",A945&lt;=44,"35-44",A945&lt;=54,"45-54",TRUE,"OVER 55")</f>
        <v>45-54</v>
      </c>
    </row>
    <row r="946" spans="1:37"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f t="shared" si="14"/>
        <v>0</v>
      </c>
      <c r="AK946" t="str" cm="1">
        <f t="array" ref="AK946">_xlfn.IFS(A946&lt;25,"UNDER 25",A946&lt;=34,"25-34",A946&lt;=44,"35-44",A946&lt;=54,"45-54",TRUE,"OVER 55")</f>
        <v>25-34</v>
      </c>
    </row>
    <row r="947" spans="1:37"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f t="shared" si="14"/>
        <v>0</v>
      </c>
      <c r="AK947" t="str" cm="1">
        <f t="array" ref="AK947">_xlfn.IFS(A947&lt;25,"UNDER 25",A947&lt;=34,"25-34",A947&lt;=44,"35-44",A947&lt;=54,"45-54",TRUE,"OVER 55")</f>
        <v>45-54</v>
      </c>
    </row>
    <row r="948" spans="1:37"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f t="shared" si="14"/>
        <v>1</v>
      </c>
      <c r="AK948" t="str" cm="1">
        <f t="array" ref="AK948">_xlfn.IFS(A948&lt;25,"UNDER 25",A948&lt;=34,"25-34",A948&lt;=44,"35-44",A948&lt;=54,"45-54",TRUE,"OVER 55")</f>
        <v>35-44</v>
      </c>
    </row>
    <row r="949" spans="1:37"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f t="shared" si="14"/>
        <v>1</v>
      </c>
      <c r="AK949" t="str" cm="1">
        <f t="array" ref="AK949">_xlfn.IFS(A949&lt;25,"UNDER 25",A949&lt;=34,"25-34",A949&lt;=44,"35-44",A949&lt;=54,"45-54",TRUE,"OVER 55")</f>
        <v>45-54</v>
      </c>
    </row>
    <row r="950" spans="1:37"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f t="shared" si="14"/>
        <v>0</v>
      </c>
      <c r="AK950" t="str" cm="1">
        <f t="array" ref="AK950">_xlfn.IFS(A950&lt;25,"UNDER 25",A950&lt;=34,"25-34",A950&lt;=44,"35-44",A950&lt;=54,"45-54",TRUE,"OVER 55")</f>
        <v>25-34</v>
      </c>
    </row>
    <row r="951" spans="1:37"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f t="shared" si="14"/>
        <v>0</v>
      </c>
      <c r="AK951" t="str" cm="1">
        <f t="array" ref="AK951">_xlfn.IFS(A951&lt;25,"UNDER 25",A951&lt;=34,"25-34",A951&lt;=44,"35-44",A951&lt;=54,"45-54",TRUE,"OVER 55")</f>
        <v>35-44</v>
      </c>
    </row>
    <row r="952" spans="1:37"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f t="shared" si="14"/>
        <v>0</v>
      </c>
      <c r="AK952" t="str" cm="1">
        <f t="array" ref="AK952">_xlfn.IFS(A952&lt;25,"UNDER 25",A952&lt;=34,"25-34",A952&lt;=44,"35-44",A952&lt;=54,"45-54",TRUE,"OVER 55")</f>
        <v>25-34</v>
      </c>
    </row>
    <row r="953" spans="1:37"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f t="shared" si="14"/>
        <v>0</v>
      </c>
      <c r="AK953" t="str" cm="1">
        <f t="array" ref="AK953">_xlfn.IFS(A953&lt;25,"UNDER 25",A953&lt;=34,"25-34",A953&lt;=44,"35-44",A953&lt;=54,"45-54",TRUE,"OVER 55")</f>
        <v>35-44</v>
      </c>
    </row>
    <row r="954" spans="1:37"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f t="shared" si="14"/>
        <v>1</v>
      </c>
      <c r="AK954" t="str" cm="1">
        <f t="array" ref="AK954">_xlfn.IFS(A954&lt;25,"UNDER 25",A954&lt;=34,"25-34",A954&lt;=44,"35-44",A954&lt;=54,"45-54",TRUE,"OVER 55")</f>
        <v>25-34</v>
      </c>
    </row>
    <row r="955" spans="1:37"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f t="shared" si="14"/>
        <v>1</v>
      </c>
      <c r="AK955" t="str" cm="1">
        <f t="array" ref="AK955">_xlfn.IFS(A955&lt;25,"UNDER 25",A955&lt;=34,"25-34",A955&lt;=44,"35-44",A955&lt;=54,"45-54",TRUE,"OVER 55")</f>
        <v>35-44</v>
      </c>
    </row>
    <row r="956" spans="1:37"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f t="shared" si="14"/>
        <v>0</v>
      </c>
      <c r="AK956" t="str" cm="1">
        <f t="array" ref="AK956">_xlfn.IFS(A956&lt;25,"UNDER 25",A956&lt;=34,"25-34",A956&lt;=44,"35-44",A956&lt;=54,"45-54",TRUE,"OVER 55")</f>
        <v>35-44</v>
      </c>
    </row>
    <row r="957" spans="1:37"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f t="shared" si="14"/>
        <v>0</v>
      </c>
      <c r="AK957" t="str" cm="1">
        <f t="array" ref="AK957">_xlfn.IFS(A957&lt;25,"UNDER 25",A957&lt;=34,"25-34",A957&lt;=44,"35-44",A957&lt;=54,"45-54",TRUE,"OVER 55")</f>
        <v>OVER 55</v>
      </c>
    </row>
    <row r="958" spans="1:37"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f t="shared" si="14"/>
        <v>0</v>
      </c>
      <c r="AK958" t="str" cm="1">
        <f t="array" ref="AK958">_xlfn.IFS(A958&lt;25,"UNDER 25",A958&lt;=34,"25-34",A958&lt;=44,"35-44",A958&lt;=54,"45-54",TRUE,"OVER 55")</f>
        <v>OVER 55</v>
      </c>
    </row>
    <row r="959" spans="1:37"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f t="shared" si="14"/>
        <v>0</v>
      </c>
      <c r="AK959" t="str" cm="1">
        <f t="array" ref="AK959">_xlfn.IFS(A959&lt;25,"UNDER 25",A959&lt;=34,"25-34",A959&lt;=44,"35-44",A959&lt;=54,"45-54",TRUE,"OVER 55")</f>
        <v>35-44</v>
      </c>
    </row>
    <row r="960" spans="1:37"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f t="shared" si="14"/>
        <v>0</v>
      </c>
      <c r="AK960" t="str" cm="1">
        <f t="array" ref="AK960">_xlfn.IFS(A960&lt;25,"UNDER 25",A960&lt;=34,"25-34",A960&lt;=44,"35-44",A960&lt;=54,"45-54",TRUE,"OVER 55")</f>
        <v>25-34</v>
      </c>
    </row>
    <row r="961" spans="1:37"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f t="shared" si="14"/>
        <v>0</v>
      </c>
      <c r="AK961" t="str" cm="1">
        <f t="array" ref="AK961">_xlfn.IFS(A961&lt;25,"UNDER 25",A961&lt;=34,"25-34",A961&lt;=44,"35-44",A961&lt;=54,"45-54",TRUE,"OVER 55")</f>
        <v>35-44</v>
      </c>
    </row>
    <row r="962" spans="1:37"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f t="shared" si="14"/>
        <v>0</v>
      </c>
      <c r="AK962" t="str" cm="1">
        <f t="array" ref="AK962">_xlfn.IFS(A962&lt;25,"UNDER 25",A962&lt;=34,"25-34",A962&lt;=44,"35-44",A962&lt;=54,"45-54",TRUE,"OVER 55")</f>
        <v>35-44</v>
      </c>
    </row>
    <row r="963" spans="1:37"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f t="shared" ref="AJ963:AJ1026" si="15">IF(B963="yes",1,0)</f>
        <v>0</v>
      </c>
      <c r="AK963" t="str" cm="1">
        <f t="array" ref="AK963">_xlfn.IFS(A963&lt;25,"UNDER 25",A963&lt;=34,"25-34",A963&lt;=44,"35-44",A963&lt;=54,"45-54",TRUE,"OVER 55")</f>
        <v>35-44</v>
      </c>
    </row>
    <row r="964" spans="1:37"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f t="shared" si="15"/>
        <v>0</v>
      </c>
      <c r="AK964" t="str" cm="1">
        <f t="array" ref="AK964">_xlfn.IFS(A964&lt;25,"UNDER 25",A964&lt;=34,"25-34",A964&lt;=44,"35-44",A964&lt;=54,"45-54",TRUE,"OVER 55")</f>
        <v>45-54</v>
      </c>
    </row>
    <row r="965" spans="1:37"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f t="shared" si="15"/>
        <v>0</v>
      </c>
      <c r="AK965" t="str" cm="1">
        <f t="array" ref="AK965">_xlfn.IFS(A965&lt;25,"UNDER 25",A965&lt;=34,"25-34",A965&lt;=44,"35-44",A965&lt;=54,"45-54",TRUE,"OVER 55")</f>
        <v>35-44</v>
      </c>
    </row>
    <row r="966" spans="1:37"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f t="shared" si="15"/>
        <v>0</v>
      </c>
      <c r="AK966" t="str" cm="1">
        <f t="array" ref="AK966">_xlfn.IFS(A966&lt;25,"UNDER 25",A966&lt;=34,"25-34",A966&lt;=44,"35-44",A966&lt;=54,"45-54",TRUE,"OVER 55")</f>
        <v>25-34</v>
      </c>
    </row>
    <row r="967" spans="1:37"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f t="shared" si="15"/>
        <v>0</v>
      </c>
      <c r="AK967" t="str" cm="1">
        <f t="array" ref="AK967">_xlfn.IFS(A967&lt;25,"UNDER 25",A967&lt;=34,"25-34",A967&lt;=44,"35-44",A967&lt;=54,"45-54",TRUE,"OVER 55")</f>
        <v>25-34</v>
      </c>
    </row>
    <row r="968" spans="1:37"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f t="shared" si="15"/>
        <v>1</v>
      </c>
      <c r="AK968" t="str" cm="1">
        <f t="array" ref="AK968">_xlfn.IFS(A968&lt;25,"UNDER 25",A968&lt;=34,"25-34",A968&lt;=44,"35-44",A968&lt;=54,"45-54",TRUE,"OVER 55")</f>
        <v>OVER 55</v>
      </c>
    </row>
    <row r="969" spans="1:37"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f t="shared" si="15"/>
        <v>0</v>
      </c>
      <c r="AK969" t="str" cm="1">
        <f t="array" ref="AK969">_xlfn.IFS(A969&lt;25,"UNDER 25",A969&lt;=34,"25-34",A969&lt;=44,"35-44",A969&lt;=54,"45-54",TRUE,"OVER 55")</f>
        <v>35-44</v>
      </c>
    </row>
    <row r="970" spans="1:37"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f t="shared" si="15"/>
        <v>0</v>
      </c>
      <c r="AK970" t="str" cm="1">
        <f t="array" ref="AK970">_xlfn.IFS(A970&lt;25,"UNDER 25",A970&lt;=34,"25-34",A970&lt;=44,"35-44",A970&lt;=54,"45-54",TRUE,"OVER 55")</f>
        <v>35-44</v>
      </c>
    </row>
    <row r="971" spans="1:37"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f t="shared" si="15"/>
        <v>0</v>
      </c>
      <c r="AK971" t="str" cm="1">
        <f t="array" ref="AK971">_xlfn.IFS(A971&lt;25,"UNDER 25",A971&lt;=34,"25-34",A971&lt;=44,"35-44",A971&lt;=54,"45-54",TRUE,"OVER 55")</f>
        <v>45-54</v>
      </c>
    </row>
    <row r="972" spans="1:37"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f t="shared" si="15"/>
        <v>0</v>
      </c>
      <c r="AK972" t="str" cm="1">
        <f t="array" ref="AK972">_xlfn.IFS(A972&lt;25,"UNDER 25",A972&lt;=34,"25-34",A972&lt;=44,"35-44",A972&lt;=54,"45-54",TRUE,"OVER 55")</f>
        <v>25-34</v>
      </c>
    </row>
    <row r="973" spans="1:37"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f t="shared" si="15"/>
        <v>0</v>
      </c>
      <c r="AK973" t="str" cm="1">
        <f t="array" ref="AK973">_xlfn.IFS(A973&lt;25,"UNDER 25",A973&lt;=34,"25-34",A973&lt;=44,"35-44",A973&lt;=54,"45-54",TRUE,"OVER 55")</f>
        <v>45-54</v>
      </c>
    </row>
    <row r="974" spans="1:37"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f t="shared" si="15"/>
        <v>0</v>
      </c>
      <c r="AK974" t="str" cm="1">
        <f t="array" ref="AK974">_xlfn.IFS(A974&lt;25,"UNDER 25",A974&lt;=34,"25-34",A974&lt;=44,"35-44",A974&lt;=54,"45-54",TRUE,"OVER 55")</f>
        <v>UNDER 25</v>
      </c>
    </row>
    <row r="975" spans="1:37"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f t="shared" si="15"/>
        <v>0</v>
      </c>
      <c r="AK975" t="str" cm="1">
        <f t="array" ref="AK975">_xlfn.IFS(A975&lt;25,"UNDER 25",A975&lt;=34,"25-34",A975&lt;=44,"35-44",A975&lt;=54,"45-54",TRUE,"OVER 55")</f>
        <v>35-44</v>
      </c>
    </row>
    <row r="976" spans="1:37"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f t="shared" si="15"/>
        <v>0</v>
      </c>
      <c r="AK976" t="str" cm="1">
        <f t="array" ref="AK976">_xlfn.IFS(A976&lt;25,"UNDER 25",A976&lt;=34,"25-34",A976&lt;=44,"35-44",A976&lt;=54,"45-54",TRUE,"OVER 55")</f>
        <v>25-34</v>
      </c>
    </row>
    <row r="977" spans="1:37"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f t="shared" si="15"/>
        <v>1</v>
      </c>
      <c r="AK977" t="str" cm="1">
        <f t="array" ref="AK977">_xlfn.IFS(A977&lt;25,"UNDER 25",A977&lt;=34,"25-34",A977&lt;=44,"35-44",A977&lt;=54,"45-54",TRUE,"OVER 55")</f>
        <v>OVER 55</v>
      </c>
    </row>
    <row r="978" spans="1:37"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f t="shared" si="15"/>
        <v>0</v>
      </c>
      <c r="AK978" t="str" cm="1">
        <f t="array" ref="AK978">_xlfn.IFS(A978&lt;25,"UNDER 25",A978&lt;=34,"25-34",A978&lt;=44,"35-44",A978&lt;=54,"45-54",TRUE,"OVER 55")</f>
        <v>OVER 55</v>
      </c>
    </row>
    <row r="979" spans="1:37"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f t="shared" si="15"/>
        <v>0</v>
      </c>
      <c r="AK979" t="str" cm="1">
        <f t="array" ref="AK979">_xlfn.IFS(A979&lt;25,"UNDER 25",A979&lt;=34,"25-34",A979&lt;=44,"35-44",A979&lt;=54,"45-54",TRUE,"OVER 55")</f>
        <v>25-34</v>
      </c>
    </row>
    <row r="980" spans="1:37"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f t="shared" si="15"/>
        <v>0</v>
      </c>
      <c r="AK980" t="str" cm="1">
        <f t="array" ref="AK980">_xlfn.IFS(A980&lt;25,"UNDER 25",A980&lt;=34,"25-34",A980&lt;=44,"35-44",A980&lt;=54,"45-54",TRUE,"OVER 55")</f>
        <v>35-44</v>
      </c>
    </row>
    <row r="981" spans="1:37"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f t="shared" si="15"/>
        <v>0</v>
      </c>
      <c r="AK981" t="str" cm="1">
        <f t="array" ref="AK981">_xlfn.IFS(A981&lt;25,"UNDER 25",A981&lt;=34,"25-34",A981&lt;=44,"35-44",A981&lt;=54,"45-54",TRUE,"OVER 55")</f>
        <v>25-34</v>
      </c>
    </row>
    <row r="982" spans="1:37"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f t="shared" si="15"/>
        <v>1</v>
      </c>
      <c r="AK982" t="str" cm="1">
        <f t="array" ref="AK982">_xlfn.IFS(A982&lt;25,"UNDER 25",A982&lt;=34,"25-34",A982&lt;=44,"35-44",A982&lt;=54,"45-54",TRUE,"OVER 55")</f>
        <v>25-34</v>
      </c>
    </row>
    <row r="983" spans="1:37"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f t="shared" si="15"/>
        <v>1</v>
      </c>
      <c r="AK983" t="str" cm="1">
        <f t="array" ref="AK983">_xlfn.IFS(A983&lt;25,"UNDER 25",A983&lt;=34,"25-34",A983&lt;=44,"35-44",A983&lt;=54,"45-54",TRUE,"OVER 55")</f>
        <v>35-44</v>
      </c>
    </row>
    <row r="984" spans="1:37"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f t="shared" si="15"/>
        <v>0</v>
      </c>
      <c r="AK984" t="str" cm="1">
        <f t="array" ref="AK984">_xlfn.IFS(A984&lt;25,"UNDER 25",A984&lt;=34,"25-34",A984&lt;=44,"35-44",A984&lt;=54,"45-54",TRUE,"OVER 55")</f>
        <v>35-44</v>
      </c>
    </row>
    <row r="985" spans="1:37"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f t="shared" si="15"/>
        <v>0</v>
      </c>
      <c r="AK985" t="str" cm="1">
        <f t="array" ref="AK985">_xlfn.IFS(A985&lt;25,"UNDER 25",A985&lt;=34,"25-34",A985&lt;=44,"35-44",A985&lt;=54,"45-54",TRUE,"OVER 55")</f>
        <v>25-34</v>
      </c>
    </row>
    <row r="986" spans="1:37"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f t="shared" si="15"/>
        <v>0</v>
      </c>
      <c r="AK986" t="str" cm="1">
        <f t="array" ref="AK986">_xlfn.IFS(A986&lt;25,"UNDER 25",A986&lt;=34,"25-34",A986&lt;=44,"35-44",A986&lt;=54,"45-54",TRUE,"OVER 55")</f>
        <v>25-34</v>
      </c>
    </row>
    <row r="987" spans="1:37"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f t="shared" si="15"/>
        <v>1</v>
      </c>
      <c r="AK987" t="str" cm="1">
        <f t="array" ref="AK987">_xlfn.IFS(A987&lt;25,"UNDER 25",A987&lt;=34,"25-34",A987&lt;=44,"35-44",A987&lt;=54,"45-54",TRUE,"OVER 55")</f>
        <v>25-34</v>
      </c>
    </row>
    <row r="988" spans="1:37"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f t="shared" si="15"/>
        <v>0</v>
      </c>
      <c r="AK988" t="str" cm="1">
        <f t="array" ref="AK988">_xlfn.IFS(A988&lt;25,"UNDER 25",A988&lt;=34,"25-34",A988&lt;=44,"35-44",A988&lt;=54,"45-54",TRUE,"OVER 55")</f>
        <v>35-44</v>
      </c>
    </row>
    <row r="989" spans="1:37"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f t="shared" si="15"/>
        <v>0</v>
      </c>
      <c r="AK989" t="str" cm="1">
        <f t="array" ref="AK989">_xlfn.IFS(A989&lt;25,"UNDER 25",A989&lt;=34,"25-34",A989&lt;=44,"35-44",A989&lt;=54,"45-54",TRUE,"OVER 55")</f>
        <v>45-54</v>
      </c>
    </row>
    <row r="990" spans="1:37"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f t="shared" si="15"/>
        <v>0</v>
      </c>
      <c r="AK990" t="str" cm="1">
        <f t="array" ref="AK990">_xlfn.IFS(A990&lt;25,"UNDER 25",A990&lt;=34,"25-34",A990&lt;=44,"35-44",A990&lt;=54,"45-54",TRUE,"OVER 55")</f>
        <v>35-44</v>
      </c>
    </row>
    <row r="991" spans="1:37"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f t="shared" si="15"/>
        <v>0</v>
      </c>
      <c r="AK991" t="str" cm="1">
        <f t="array" ref="AK991">_xlfn.IFS(A991&lt;25,"UNDER 25",A991&lt;=34,"25-34",A991&lt;=44,"35-44",A991&lt;=54,"45-54",TRUE,"OVER 55")</f>
        <v>35-44</v>
      </c>
    </row>
    <row r="992" spans="1:37"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f t="shared" si="15"/>
        <v>0</v>
      </c>
      <c r="AK992" t="str" cm="1">
        <f t="array" ref="AK992">_xlfn.IFS(A992&lt;25,"UNDER 25",A992&lt;=34,"25-34",A992&lt;=44,"35-44",A992&lt;=54,"45-54",TRUE,"OVER 55")</f>
        <v>25-34</v>
      </c>
    </row>
    <row r="993" spans="1:37"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f t="shared" si="15"/>
        <v>0</v>
      </c>
      <c r="AK993" t="str" cm="1">
        <f t="array" ref="AK993">_xlfn.IFS(A993&lt;25,"UNDER 25",A993&lt;=34,"25-34",A993&lt;=44,"35-44",A993&lt;=54,"45-54",TRUE,"OVER 55")</f>
        <v>25-34</v>
      </c>
    </row>
    <row r="994" spans="1:37"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f t="shared" si="15"/>
        <v>0</v>
      </c>
      <c r="AK994" t="str" cm="1">
        <f t="array" ref="AK994">_xlfn.IFS(A994&lt;25,"UNDER 25",A994&lt;=34,"25-34",A994&lt;=44,"35-44",A994&lt;=54,"45-54",TRUE,"OVER 55")</f>
        <v>35-44</v>
      </c>
    </row>
    <row r="995" spans="1:37"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f t="shared" si="15"/>
        <v>0</v>
      </c>
      <c r="AK995" t="str" cm="1">
        <f t="array" ref="AK995">_xlfn.IFS(A995&lt;25,"UNDER 25",A995&lt;=34,"25-34",A995&lt;=44,"35-44",A995&lt;=54,"45-54",TRUE,"OVER 55")</f>
        <v>25-34</v>
      </c>
    </row>
    <row r="996" spans="1:37"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f t="shared" si="15"/>
        <v>0</v>
      </c>
      <c r="AK996" t="str" cm="1">
        <f t="array" ref="AK996">_xlfn.IFS(A996&lt;25,"UNDER 25",A996&lt;=34,"25-34",A996&lt;=44,"35-44",A996&lt;=54,"45-54",TRUE,"OVER 55")</f>
        <v>45-54</v>
      </c>
    </row>
    <row r="997" spans="1:37"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f t="shared" si="15"/>
        <v>0</v>
      </c>
      <c r="AK997" t="str" cm="1">
        <f t="array" ref="AK997">_xlfn.IFS(A997&lt;25,"UNDER 25",A997&lt;=34,"25-34",A997&lt;=44,"35-44",A997&lt;=54,"45-54",TRUE,"OVER 55")</f>
        <v>35-44</v>
      </c>
    </row>
    <row r="998" spans="1:37"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f t="shared" si="15"/>
        <v>0</v>
      </c>
      <c r="AK998" t="str" cm="1">
        <f t="array" ref="AK998">_xlfn.IFS(A998&lt;25,"UNDER 25",A998&lt;=34,"25-34",A998&lt;=44,"35-44",A998&lt;=54,"45-54",TRUE,"OVER 55")</f>
        <v>25-34</v>
      </c>
    </row>
    <row r="999" spans="1:37"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f t="shared" si="15"/>
        <v>1</v>
      </c>
      <c r="AK999" t="str" cm="1">
        <f t="array" ref="AK999">_xlfn.IFS(A999&lt;25,"UNDER 25",A999&lt;=34,"25-34",A999&lt;=44,"35-44",A999&lt;=54,"45-54",TRUE,"OVER 55")</f>
        <v>25-34</v>
      </c>
    </row>
    <row r="1000" spans="1:37"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f t="shared" si="15"/>
        <v>0</v>
      </c>
      <c r="AK1000" t="str" cm="1">
        <f t="array" ref="AK1000">_xlfn.IFS(A1000&lt;25,"UNDER 25",A1000&lt;=34,"25-34",A1000&lt;=44,"35-44",A1000&lt;=54,"45-54",TRUE,"OVER 55")</f>
        <v>25-34</v>
      </c>
    </row>
    <row r="1001" spans="1:37"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f t="shared" si="15"/>
        <v>0</v>
      </c>
      <c r="AK1001" t="str" cm="1">
        <f t="array" ref="AK1001">_xlfn.IFS(A1001&lt;25,"UNDER 25",A1001&lt;=34,"25-34",A1001&lt;=44,"35-44",A1001&lt;=54,"45-54",TRUE,"OVER 55")</f>
        <v>35-44</v>
      </c>
    </row>
    <row r="1002" spans="1:37"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f t="shared" si="15"/>
        <v>0</v>
      </c>
      <c r="AK1002" t="str" cm="1">
        <f t="array" ref="AK1002">_xlfn.IFS(A1002&lt;25,"UNDER 25",A1002&lt;=34,"25-34",A1002&lt;=44,"35-44",A1002&lt;=54,"45-54",TRUE,"OVER 55")</f>
        <v>45-54</v>
      </c>
    </row>
    <row r="1003" spans="1:37"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f t="shared" si="15"/>
        <v>0</v>
      </c>
      <c r="AK1003" t="str" cm="1">
        <f t="array" ref="AK1003">_xlfn.IFS(A1003&lt;25,"UNDER 25",A1003&lt;=34,"25-34",A1003&lt;=44,"35-44",A1003&lt;=54,"45-54",TRUE,"OVER 55")</f>
        <v>35-44</v>
      </c>
    </row>
    <row r="1004" spans="1:37"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f t="shared" si="15"/>
        <v>0</v>
      </c>
      <c r="AK1004" t="str" cm="1">
        <f t="array" ref="AK1004">_xlfn.IFS(A1004&lt;25,"UNDER 25",A1004&lt;=34,"25-34",A1004&lt;=44,"35-44",A1004&lt;=54,"45-54",TRUE,"OVER 55")</f>
        <v>35-44</v>
      </c>
    </row>
    <row r="1005" spans="1:37"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f t="shared" si="15"/>
        <v>0</v>
      </c>
      <c r="AK1005" t="str" cm="1">
        <f t="array" ref="AK1005">_xlfn.IFS(A1005&lt;25,"UNDER 25",A1005&lt;=34,"25-34",A1005&lt;=44,"35-44",A1005&lt;=54,"45-54",TRUE,"OVER 55")</f>
        <v>25-34</v>
      </c>
    </row>
    <row r="1006" spans="1:37"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f t="shared" si="15"/>
        <v>0</v>
      </c>
      <c r="AK1006" t="str" cm="1">
        <f t="array" ref="AK1006">_xlfn.IFS(A1006&lt;25,"UNDER 25",A1006&lt;=34,"25-34",A1006&lt;=44,"35-44",A1006&lt;=54,"45-54",TRUE,"OVER 55")</f>
        <v>25-34</v>
      </c>
    </row>
    <row r="1007" spans="1:37"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f t="shared" si="15"/>
        <v>0</v>
      </c>
      <c r="AK1007" t="str" cm="1">
        <f t="array" ref="AK1007">_xlfn.IFS(A1007&lt;25,"UNDER 25",A1007&lt;=34,"25-34",A1007&lt;=44,"35-44",A1007&lt;=54,"45-54",TRUE,"OVER 55")</f>
        <v>25-34</v>
      </c>
    </row>
    <row r="1008" spans="1:37"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f t="shared" si="15"/>
        <v>1</v>
      </c>
      <c r="AK1008" t="str" cm="1">
        <f t="array" ref="AK1008">_xlfn.IFS(A1008&lt;25,"UNDER 25",A1008&lt;=34,"25-34",A1008&lt;=44,"35-44",A1008&lt;=54,"45-54",TRUE,"OVER 55")</f>
        <v>45-54</v>
      </c>
    </row>
    <row r="1009" spans="1:37"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f t="shared" si="15"/>
        <v>1</v>
      </c>
      <c r="AK1009" t="str" cm="1">
        <f t="array" ref="AK1009">_xlfn.IFS(A1009&lt;25,"UNDER 25",A1009&lt;=34,"25-34",A1009&lt;=44,"35-44",A1009&lt;=54,"45-54",TRUE,"OVER 55")</f>
        <v>25-34</v>
      </c>
    </row>
    <row r="1010" spans="1:37"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f t="shared" si="15"/>
        <v>0</v>
      </c>
      <c r="AK1010" t="str" cm="1">
        <f t="array" ref="AK1010">_xlfn.IFS(A1010&lt;25,"UNDER 25",A1010&lt;=34,"25-34",A1010&lt;=44,"35-44",A1010&lt;=54,"45-54",TRUE,"OVER 55")</f>
        <v>45-54</v>
      </c>
    </row>
    <row r="1011" spans="1:37"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f t="shared" si="15"/>
        <v>0</v>
      </c>
      <c r="AK1011" t="str" cm="1">
        <f t="array" ref="AK1011">_xlfn.IFS(A1011&lt;25,"UNDER 25",A1011&lt;=34,"25-34",A1011&lt;=44,"35-44",A1011&lt;=54,"45-54",TRUE,"OVER 55")</f>
        <v>OVER 55</v>
      </c>
    </row>
    <row r="1012" spans="1:37"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f t="shared" si="15"/>
        <v>0</v>
      </c>
      <c r="AK1012" t="str" cm="1">
        <f t="array" ref="AK1012">_xlfn.IFS(A1012&lt;25,"UNDER 25",A1012&lt;=34,"25-34",A1012&lt;=44,"35-44",A1012&lt;=54,"45-54",TRUE,"OVER 55")</f>
        <v>OVER 55</v>
      </c>
    </row>
    <row r="1013" spans="1:37"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f t="shared" si="15"/>
        <v>0</v>
      </c>
      <c r="AK1013" t="str" cm="1">
        <f t="array" ref="AK1013">_xlfn.IFS(A1013&lt;25,"UNDER 25",A1013&lt;=34,"25-34",A1013&lt;=44,"35-44",A1013&lt;=54,"45-54",TRUE,"OVER 55")</f>
        <v>35-44</v>
      </c>
    </row>
    <row r="1014" spans="1:37"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f t="shared" si="15"/>
        <v>1</v>
      </c>
      <c r="AK1014" t="str" cm="1">
        <f t="array" ref="AK1014">_xlfn.IFS(A1014&lt;25,"UNDER 25",A1014&lt;=34,"25-34",A1014&lt;=44,"35-44",A1014&lt;=54,"45-54",TRUE,"OVER 55")</f>
        <v>25-34</v>
      </c>
    </row>
    <row r="1015" spans="1:37"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f t="shared" si="15"/>
        <v>0</v>
      </c>
      <c r="AK1015" t="str" cm="1">
        <f t="array" ref="AK1015">_xlfn.IFS(A1015&lt;25,"UNDER 25",A1015&lt;=34,"25-34",A1015&lt;=44,"35-44",A1015&lt;=54,"45-54",TRUE,"OVER 55")</f>
        <v>25-34</v>
      </c>
    </row>
    <row r="1016" spans="1:37"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f t="shared" si="15"/>
        <v>0</v>
      </c>
      <c r="AK1016" t="str" cm="1">
        <f t="array" ref="AK1016">_xlfn.IFS(A1016&lt;25,"UNDER 25",A1016&lt;=34,"25-34",A1016&lt;=44,"35-44",A1016&lt;=54,"45-54",TRUE,"OVER 55")</f>
        <v>25-34</v>
      </c>
    </row>
    <row r="1017" spans="1:37"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f t="shared" si="15"/>
        <v>0</v>
      </c>
      <c r="AK1017" t="str" cm="1">
        <f t="array" ref="AK1017">_xlfn.IFS(A1017&lt;25,"UNDER 25",A1017&lt;=34,"25-34",A1017&lt;=44,"35-44",A1017&lt;=54,"45-54",TRUE,"OVER 55")</f>
        <v>25-34</v>
      </c>
    </row>
    <row r="1018" spans="1:37"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f t="shared" si="15"/>
        <v>1</v>
      </c>
      <c r="AK1018" t="str" cm="1">
        <f t="array" ref="AK1018">_xlfn.IFS(A1018&lt;25,"UNDER 25",A1018&lt;=34,"25-34",A1018&lt;=44,"35-44",A1018&lt;=54,"45-54",TRUE,"OVER 55")</f>
        <v>25-34</v>
      </c>
    </row>
    <row r="1019" spans="1:37"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f t="shared" si="15"/>
        <v>0</v>
      </c>
      <c r="AK1019" t="str" cm="1">
        <f t="array" ref="AK1019">_xlfn.IFS(A1019&lt;25,"UNDER 25",A1019&lt;=34,"25-34",A1019&lt;=44,"35-44",A1019&lt;=54,"45-54",TRUE,"OVER 55")</f>
        <v>25-34</v>
      </c>
    </row>
    <row r="1020" spans="1:37"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f t="shared" si="15"/>
        <v>0</v>
      </c>
      <c r="AK1020" t="str" cm="1">
        <f t="array" ref="AK1020">_xlfn.IFS(A1020&lt;25,"UNDER 25",A1020&lt;=34,"25-34",A1020&lt;=44,"35-44",A1020&lt;=54,"45-54",TRUE,"OVER 55")</f>
        <v>35-44</v>
      </c>
    </row>
    <row r="1021" spans="1:37"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f t="shared" si="15"/>
        <v>0</v>
      </c>
      <c r="AK1021" t="str" cm="1">
        <f t="array" ref="AK1021">_xlfn.IFS(A1021&lt;25,"UNDER 25",A1021&lt;=34,"25-34",A1021&lt;=44,"35-44",A1021&lt;=54,"45-54",TRUE,"OVER 55")</f>
        <v>35-44</v>
      </c>
    </row>
    <row r="1022" spans="1:37"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f t="shared" si="15"/>
        <v>0</v>
      </c>
      <c r="AK1022" t="str" cm="1">
        <f t="array" ref="AK1022">_xlfn.IFS(A1022&lt;25,"UNDER 25",A1022&lt;=34,"25-34",A1022&lt;=44,"35-44",A1022&lt;=54,"45-54",TRUE,"OVER 55")</f>
        <v>45-54</v>
      </c>
    </row>
    <row r="1023" spans="1:37"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f t="shared" si="15"/>
        <v>1</v>
      </c>
      <c r="AK1023" t="str" cm="1">
        <f t="array" ref="AK1023">_xlfn.IFS(A1023&lt;25,"UNDER 25",A1023&lt;=34,"25-34",A1023&lt;=44,"35-44",A1023&lt;=54,"45-54",TRUE,"OVER 55")</f>
        <v>25-34</v>
      </c>
    </row>
    <row r="1024" spans="1:37"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f t="shared" si="15"/>
        <v>0</v>
      </c>
      <c r="AK1024" t="str" cm="1">
        <f t="array" ref="AK1024">_xlfn.IFS(A1024&lt;25,"UNDER 25",A1024&lt;=34,"25-34",A1024&lt;=44,"35-44",A1024&lt;=54,"45-54",TRUE,"OVER 55")</f>
        <v>35-44</v>
      </c>
    </row>
    <row r="1025" spans="1:37"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f t="shared" si="15"/>
        <v>0</v>
      </c>
      <c r="AK1025" t="str" cm="1">
        <f t="array" ref="AK1025">_xlfn.IFS(A1025&lt;25,"UNDER 25",A1025&lt;=34,"25-34",A1025&lt;=44,"35-44",A1025&lt;=54,"45-54",TRUE,"OVER 55")</f>
        <v>OVER 55</v>
      </c>
    </row>
    <row r="1026" spans="1:37"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f t="shared" si="15"/>
        <v>0</v>
      </c>
      <c r="AK1026" t="str" cm="1">
        <f t="array" ref="AK1026">_xlfn.IFS(A1026&lt;25,"UNDER 25",A1026&lt;=34,"25-34",A1026&lt;=44,"35-44",A1026&lt;=54,"45-54",TRUE,"OVER 55")</f>
        <v>45-54</v>
      </c>
    </row>
    <row r="1027" spans="1:37"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f t="shared" ref="AJ1027:AJ1090" si="16">IF(B1027="yes",1,0)</f>
        <v>0</v>
      </c>
      <c r="AK1027" t="str" cm="1">
        <f t="array" ref="AK1027">_xlfn.IFS(A1027&lt;25,"UNDER 25",A1027&lt;=34,"25-34",A1027&lt;=44,"35-44",A1027&lt;=54,"45-54",TRUE,"OVER 55")</f>
        <v>UNDER 25</v>
      </c>
    </row>
    <row r="1028" spans="1:37"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f t="shared" si="16"/>
        <v>0</v>
      </c>
      <c r="AK1028" t="str" cm="1">
        <f t="array" ref="AK1028">_xlfn.IFS(A1028&lt;25,"UNDER 25",A1028&lt;=34,"25-34",A1028&lt;=44,"35-44",A1028&lt;=54,"45-54",TRUE,"OVER 55")</f>
        <v>25-34</v>
      </c>
    </row>
    <row r="1029" spans="1:37"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f t="shared" si="16"/>
        <v>0</v>
      </c>
      <c r="AK1029" t="str" cm="1">
        <f t="array" ref="AK1029">_xlfn.IFS(A1029&lt;25,"UNDER 25",A1029&lt;=34,"25-34",A1029&lt;=44,"35-44",A1029&lt;=54,"45-54",TRUE,"OVER 55")</f>
        <v>25-34</v>
      </c>
    </row>
    <row r="1030" spans="1:37"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f t="shared" si="16"/>
        <v>0</v>
      </c>
      <c r="AK1030" t="str" cm="1">
        <f t="array" ref="AK1030">_xlfn.IFS(A1030&lt;25,"UNDER 25",A1030&lt;=34,"25-34",A1030&lt;=44,"35-44",A1030&lt;=54,"45-54",TRUE,"OVER 55")</f>
        <v>35-44</v>
      </c>
    </row>
    <row r="1031" spans="1:37"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f t="shared" si="16"/>
        <v>0</v>
      </c>
      <c r="AK1031" t="str" cm="1">
        <f t="array" ref="AK1031">_xlfn.IFS(A1031&lt;25,"UNDER 25",A1031&lt;=34,"25-34",A1031&lt;=44,"35-44",A1031&lt;=54,"45-54",TRUE,"OVER 55")</f>
        <v>35-44</v>
      </c>
    </row>
    <row r="1032" spans="1:37"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f t="shared" si="16"/>
        <v>0</v>
      </c>
      <c r="AK1032" t="str" cm="1">
        <f t="array" ref="AK1032">_xlfn.IFS(A1032&lt;25,"UNDER 25",A1032&lt;=34,"25-34",A1032&lt;=44,"35-44",A1032&lt;=54,"45-54",TRUE,"OVER 55")</f>
        <v>25-34</v>
      </c>
    </row>
    <row r="1033" spans="1:37"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f t="shared" si="16"/>
        <v>1</v>
      </c>
      <c r="AK1033" t="str" cm="1">
        <f t="array" ref="AK1033">_xlfn.IFS(A1033&lt;25,"UNDER 25",A1033&lt;=34,"25-34",A1033&lt;=44,"35-44",A1033&lt;=54,"45-54",TRUE,"OVER 55")</f>
        <v>45-54</v>
      </c>
    </row>
    <row r="1034" spans="1:37"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f t="shared" si="16"/>
        <v>1</v>
      </c>
      <c r="AK1034" t="str" cm="1">
        <f t="array" ref="AK1034">_xlfn.IFS(A1034&lt;25,"UNDER 25",A1034&lt;=34,"25-34",A1034&lt;=44,"35-44",A1034&lt;=54,"45-54",TRUE,"OVER 55")</f>
        <v>35-44</v>
      </c>
    </row>
    <row r="1035" spans="1:37"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f t="shared" si="16"/>
        <v>1</v>
      </c>
      <c r="AK1035" t="str" cm="1">
        <f t="array" ref="AK1035">_xlfn.IFS(A1035&lt;25,"UNDER 25",A1035&lt;=34,"25-34",A1035&lt;=44,"35-44",A1035&lt;=54,"45-54",TRUE,"OVER 55")</f>
        <v>25-34</v>
      </c>
    </row>
    <row r="1036" spans="1:37"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f t="shared" si="16"/>
        <v>0</v>
      </c>
      <c r="AK1036" t="str" cm="1">
        <f t="array" ref="AK1036">_xlfn.IFS(A1036&lt;25,"UNDER 25",A1036&lt;=34,"25-34",A1036&lt;=44,"35-44",A1036&lt;=54,"45-54",TRUE,"OVER 55")</f>
        <v>45-54</v>
      </c>
    </row>
    <row r="1037" spans="1:37"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f t="shared" si="16"/>
        <v>0</v>
      </c>
      <c r="AK1037" t="str" cm="1">
        <f t="array" ref="AK1037">_xlfn.IFS(A1037&lt;25,"UNDER 25",A1037&lt;=34,"25-34",A1037&lt;=44,"35-44",A1037&lt;=54,"45-54",TRUE,"OVER 55")</f>
        <v>25-34</v>
      </c>
    </row>
    <row r="1038" spans="1:37"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f t="shared" si="16"/>
        <v>1</v>
      </c>
      <c r="AK1038" t="str" cm="1">
        <f t="array" ref="AK1038">_xlfn.IFS(A1038&lt;25,"UNDER 25",A1038&lt;=34,"25-34",A1038&lt;=44,"35-44",A1038&lt;=54,"45-54",TRUE,"OVER 55")</f>
        <v>25-34</v>
      </c>
    </row>
    <row r="1039" spans="1:37"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f t="shared" si="16"/>
        <v>0</v>
      </c>
      <c r="AK1039" t="str" cm="1">
        <f t="array" ref="AK1039">_xlfn.IFS(A1039&lt;25,"UNDER 25",A1039&lt;=34,"25-34",A1039&lt;=44,"35-44",A1039&lt;=54,"45-54",TRUE,"OVER 55")</f>
        <v>45-54</v>
      </c>
    </row>
    <row r="1040" spans="1:37"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f t="shared" si="16"/>
        <v>0</v>
      </c>
      <c r="AK1040" t="str" cm="1">
        <f t="array" ref="AK1040">_xlfn.IFS(A1040&lt;25,"UNDER 25",A1040&lt;=34,"25-34",A1040&lt;=44,"35-44",A1040&lt;=54,"45-54",TRUE,"OVER 55")</f>
        <v>45-54</v>
      </c>
    </row>
    <row r="1041" spans="1:37"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f t="shared" si="16"/>
        <v>1</v>
      </c>
      <c r="AK1041" t="str" cm="1">
        <f t="array" ref="AK1041">_xlfn.IFS(A1041&lt;25,"UNDER 25",A1041&lt;=34,"25-34",A1041&lt;=44,"35-44",A1041&lt;=54,"45-54",TRUE,"OVER 55")</f>
        <v>25-34</v>
      </c>
    </row>
    <row r="1042" spans="1:37"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f t="shared" si="16"/>
        <v>0</v>
      </c>
      <c r="AK1042" t="str" cm="1">
        <f t="array" ref="AK1042">_xlfn.IFS(A1042&lt;25,"UNDER 25",A1042&lt;=34,"25-34",A1042&lt;=44,"35-44",A1042&lt;=54,"45-54",TRUE,"OVER 55")</f>
        <v>35-44</v>
      </c>
    </row>
    <row r="1043" spans="1:37"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f t="shared" si="16"/>
        <v>0</v>
      </c>
      <c r="AK1043" t="str" cm="1">
        <f t="array" ref="AK1043">_xlfn.IFS(A1043&lt;25,"UNDER 25",A1043&lt;=34,"25-34",A1043&lt;=44,"35-44",A1043&lt;=54,"45-54",TRUE,"OVER 55")</f>
        <v>25-34</v>
      </c>
    </row>
    <row r="1044" spans="1:37"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f t="shared" si="16"/>
        <v>0</v>
      </c>
      <c r="AK1044" t="str" cm="1">
        <f t="array" ref="AK1044">_xlfn.IFS(A1044&lt;25,"UNDER 25",A1044&lt;=34,"25-34",A1044&lt;=44,"35-44",A1044&lt;=54,"45-54",TRUE,"OVER 55")</f>
        <v>35-44</v>
      </c>
    </row>
    <row r="1045" spans="1:37"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f t="shared" si="16"/>
        <v>0</v>
      </c>
      <c r="AK1045" t="str" cm="1">
        <f t="array" ref="AK1045">_xlfn.IFS(A1045&lt;25,"UNDER 25",A1045&lt;=34,"25-34",A1045&lt;=44,"35-44",A1045&lt;=54,"45-54",TRUE,"OVER 55")</f>
        <v>45-54</v>
      </c>
    </row>
    <row r="1046" spans="1:37"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f t="shared" si="16"/>
        <v>0</v>
      </c>
      <c r="AK1046" t="str" cm="1">
        <f t="array" ref="AK1046">_xlfn.IFS(A1046&lt;25,"UNDER 25",A1046&lt;=34,"25-34",A1046&lt;=44,"35-44",A1046&lt;=54,"45-54",TRUE,"OVER 55")</f>
        <v>45-54</v>
      </c>
    </row>
    <row r="1047" spans="1:37"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f t="shared" si="16"/>
        <v>0</v>
      </c>
      <c r="AK1047" t="str" cm="1">
        <f t="array" ref="AK1047">_xlfn.IFS(A1047&lt;25,"UNDER 25",A1047&lt;=34,"25-34",A1047&lt;=44,"35-44",A1047&lt;=54,"45-54",TRUE,"OVER 55")</f>
        <v>35-44</v>
      </c>
    </row>
    <row r="1048" spans="1:37"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f t="shared" si="16"/>
        <v>0</v>
      </c>
      <c r="AK1048" t="str" cm="1">
        <f t="array" ref="AK1048">_xlfn.IFS(A1048&lt;25,"UNDER 25",A1048&lt;=34,"25-34",A1048&lt;=44,"35-44",A1048&lt;=54,"45-54",TRUE,"OVER 55")</f>
        <v>35-44</v>
      </c>
    </row>
    <row r="1049" spans="1:37"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f t="shared" si="16"/>
        <v>0</v>
      </c>
      <c r="AK1049" t="str" cm="1">
        <f t="array" ref="AK1049">_xlfn.IFS(A1049&lt;25,"UNDER 25",A1049&lt;=34,"25-34",A1049&lt;=44,"35-44",A1049&lt;=54,"45-54",TRUE,"OVER 55")</f>
        <v>25-34</v>
      </c>
    </row>
    <row r="1050" spans="1:37"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f t="shared" si="16"/>
        <v>0</v>
      </c>
      <c r="AK1050" t="str" cm="1">
        <f t="array" ref="AK1050">_xlfn.IFS(A1050&lt;25,"UNDER 25",A1050&lt;=34,"25-34",A1050&lt;=44,"35-44",A1050&lt;=54,"45-54",TRUE,"OVER 55")</f>
        <v>25-34</v>
      </c>
    </row>
    <row r="1051" spans="1:37"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f t="shared" si="16"/>
        <v>0</v>
      </c>
      <c r="AK1051" t="str" cm="1">
        <f t="array" ref="AK1051">_xlfn.IFS(A1051&lt;25,"UNDER 25",A1051&lt;=34,"25-34",A1051&lt;=44,"35-44",A1051&lt;=54,"45-54",TRUE,"OVER 55")</f>
        <v>25-34</v>
      </c>
    </row>
    <row r="1052" spans="1:37"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f t="shared" si="16"/>
        <v>0</v>
      </c>
      <c r="AK1052" t="str" cm="1">
        <f t="array" ref="AK1052">_xlfn.IFS(A1052&lt;25,"UNDER 25",A1052&lt;=34,"25-34",A1052&lt;=44,"35-44",A1052&lt;=54,"45-54",TRUE,"OVER 55")</f>
        <v>35-44</v>
      </c>
    </row>
    <row r="1053" spans="1:37"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f t="shared" si="16"/>
        <v>0</v>
      </c>
      <c r="AK1053" t="str" cm="1">
        <f t="array" ref="AK1053">_xlfn.IFS(A1053&lt;25,"UNDER 25",A1053&lt;=34,"25-34",A1053&lt;=44,"35-44",A1053&lt;=54,"45-54",TRUE,"OVER 55")</f>
        <v>35-44</v>
      </c>
    </row>
    <row r="1054" spans="1:37"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f t="shared" si="16"/>
        <v>0</v>
      </c>
      <c r="AK1054" t="str" cm="1">
        <f t="array" ref="AK1054">_xlfn.IFS(A1054&lt;25,"UNDER 25",A1054&lt;=34,"25-34",A1054&lt;=44,"35-44",A1054&lt;=54,"45-54",TRUE,"OVER 55")</f>
        <v>25-34</v>
      </c>
    </row>
    <row r="1055" spans="1:37"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f t="shared" si="16"/>
        <v>0</v>
      </c>
      <c r="AK1055" t="str" cm="1">
        <f t="array" ref="AK1055">_xlfn.IFS(A1055&lt;25,"UNDER 25",A1055&lt;=34,"25-34",A1055&lt;=44,"35-44",A1055&lt;=54,"45-54",TRUE,"OVER 55")</f>
        <v>OVER 55</v>
      </c>
    </row>
    <row r="1056" spans="1:37"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f t="shared" si="16"/>
        <v>0</v>
      </c>
      <c r="AK1056" t="str" cm="1">
        <f t="array" ref="AK1056">_xlfn.IFS(A1056&lt;25,"UNDER 25",A1056&lt;=34,"25-34",A1056&lt;=44,"35-44",A1056&lt;=54,"45-54",TRUE,"OVER 55")</f>
        <v>45-54</v>
      </c>
    </row>
    <row r="1057" spans="1:37"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f t="shared" si="16"/>
        <v>0</v>
      </c>
      <c r="AK1057" t="str" cm="1">
        <f t="array" ref="AK1057">_xlfn.IFS(A1057&lt;25,"UNDER 25",A1057&lt;=34,"25-34",A1057&lt;=44,"35-44",A1057&lt;=54,"45-54",TRUE,"OVER 55")</f>
        <v>25-34</v>
      </c>
    </row>
    <row r="1058" spans="1:37"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f t="shared" si="16"/>
        <v>1</v>
      </c>
      <c r="AK1058" t="str" cm="1">
        <f t="array" ref="AK1058">_xlfn.IFS(A1058&lt;25,"UNDER 25",A1058&lt;=34,"25-34",A1058&lt;=44,"35-44",A1058&lt;=54,"45-54",TRUE,"OVER 55")</f>
        <v>25-34</v>
      </c>
    </row>
    <row r="1059" spans="1:37"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f t="shared" si="16"/>
        <v>1</v>
      </c>
      <c r="AK1059" t="str" cm="1">
        <f t="array" ref="AK1059">_xlfn.IFS(A1059&lt;25,"UNDER 25",A1059&lt;=34,"25-34",A1059&lt;=44,"35-44",A1059&lt;=54,"45-54",TRUE,"OVER 55")</f>
        <v>25-34</v>
      </c>
    </row>
    <row r="1060" spans="1:37"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f t="shared" si="16"/>
        <v>1</v>
      </c>
      <c r="AK1060" t="str" cm="1">
        <f t="array" ref="AK1060">_xlfn.IFS(A1060&lt;25,"UNDER 25",A1060&lt;=34,"25-34",A1060&lt;=44,"35-44",A1060&lt;=54,"45-54",TRUE,"OVER 55")</f>
        <v>25-34</v>
      </c>
    </row>
    <row r="1061" spans="1:37"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f t="shared" si="16"/>
        <v>0</v>
      </c>
      <c r="AK1061" t="str" cm="1">
        <f t="array" ref="AK1061">_xlfn.IFS(A1061&lt;25,"UNDER 25",A1061&lt;=34,"25-34",A1061&lt;=44,"35-44",A1061&lt;=54,"45-54",TRUE,"OVER 55")</f>
        <v>35-44</v>
      </c>
    </row>
    <row r="1062" spans="1:37"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f t="shared" si="16"/>
        <v>1</v>
      </c>
      <c r="AK1062" t="str" cm="1">
        <f t="array" ref="AK1062">_xlfn.IFS(A1062&lt;25,"UNDER 25",A1062&lt;=34,"25-34",A1062&lt;=44,"35-44",A1062&lt;=54,"45-54",TRUE,"OVER 55")</f>
        <v>UNDER 25</v>
      </c>
    </row>
    <row r="1063" spans="1:37"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f t="shared" si="16"/>
        <v>0</v>
      </c>
      <c r="AK1063" t="str" cm="1">
        <f t="array" ref="AK1063">_xlfn.IFS(A1063&lt;25,"UNDER 25",A1063&lt;=34,"25-34",A1063&lt;=44,"35-44",A1063&lt;=54,"45-54",TRUE,"OVER 55")</f>
        <v>UNDER 25</v>
      </c>
    </row>
    <row r="1064" spans="1:37"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f t="shared" si="16"/>
        <v>0</v>
      </c>
      <c r="AK1064" t="str" cm="1">
        <f t="array" ref="AK1064">_xlfn.IFS(A1064&lt;25,"UNDER 25",A1064&lt;=34,"25-34",A1064&lt;=44,"35-44",A1064&lt;=54,"45-54",TRUE,"OVER 55")</f>
        <v>35-44</v>
      </c>
    </row>
    <row r="1065" spans="1:37"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f t="shared" si="16"/>
        <v>0</v>
      </c>
      <c r="AK1065" t="str" cm="1">
        <f t="array" ref="AK1065">_xlfn.IFS(A1065&lt;25,"UNDER 25",A1065&lt;=34,"25-34",A1065&lt;=44,"35-44",A1065&lt;=54,"45-54",TRUE,"OVER 55")</f>
        <v>25-34</v>
      </c>
    </row>
    <row r="1066" spans="1:37"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f t="shared" si="16"/>
        <v>0</v>
      </c>
      <c r="AK1066" t="str" cm="1">
        <f t="array" ref="AK1066">_xlfn.IFS(A1066&lt;25,"UNDER 25",A1066&lt;=34,"25-34",A1066&lt;=44,"35-44",A1066&lt;=54,"45-54",TRUE,"OVER 55")</f>
        <v>25-34</v>
      </c>
    </row>
    <row r="1067" spans="1:37"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f t="shared" si="16"/>
        <v>0</v>
      </c>
      <c r="AK1067" t="str" cm="1">
        <f t="array" ref="AK1067">_xlfn.IFS(A1067&lt;25,"UNDER 25",A1067&lt;=34,"25-34",A1067&lt;=44,"35-44",A1067&lt;=54,"45-54",TRUE,"OVER 55")</f>
        <v>OVER 55</v>
      </c>
    </row>
    <row r="1068" spans="1:37"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f t="shared" si="16"/>
        <v>0</v>
      </c>
      <c r="AK1068" t="str" cm="1">
        <f t="array" ref="AK1068">_xlfn.IFS(A1068&lt;25,"UNDER 25",A1068&lt;=34,"25-34",A1068&lt;=44,"35-44",A1068&lt;=54,"45-54",TRUE,"OVER 55")</f>
        <v>25-34</v>
      </c>
    </row>
    <row r="1069" spans="1:37"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f t="shared" si="16"/>
        <v>0</v>
      </c>
      <c r="AK1069" t="str" cm="1">
        <f t="array" ref="AK1069">_xlfn.IFS(A1069&lt;25,"UNDER 25",A1069&lt;=34,"25-34",A1069&lt;=44,"35-44",A1069&lt;=54,"45-54",TRUE,"OVER 55")</f>
        <v>45-54</v>
      </c>
    </row>
    <row r="1070" spans="1:37"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f t="shared" si="16"/>
        <v>1</v>
      </c>
      <c r="AK1070" t="str" cm="1">
        <f t="array" ref="AK1070">_xlfn.IFS(A1070&lt;25,"UNDER 25",A1070&lt;=34,"25-34",A1070&lt;=44,"35-44",A1070&lt;=54,"45-54",TRUE,"OVER 55")</f>
        <v>25-34</v>
      </c>
    </row>
    <row r="1071" spans="1:37"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f t="shared" si="16"/>
        <v>0</v>
      </c>
      <c r="AK1071" t="str" cm="1">
        <f t="array" ref="AK1071">_xlfn.IFS(A1071&lt;25,"UNDER 25",A1071&lt;=34,"25-34",A1071&lt;=44,"35-44",A1071&lt;=54,"45-54",TRUE,"OVER 55")</f>
        <v>25-34</v>
      </c>
    </row>
    <row r="1072" spans="1:37"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f t="shared" si="16"/>
        <v>0</v>
      </c>
      <c r="AK1072" t="str" cm="1">
        <f t="array" ref="AK1072">_xlfn.IFS(A1072&lt;25,"UNDER 25",A1072&lt;=34,"25-34",A1072&lt;=44,"35-44",A1072&lt;=54,"45-54",TRUE,"OVER 55")</f>
        <v>25-34</v>
      </c>
    </row>
    <row r="1073" spans="1:37"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f t="shared" si="16"/>
        <v>0</v>
      </c>
      <c r="AK1073" t="str" cm="1">
        <f t="array" ref="AK1073">_xlfn.IFS(A1073&lt;25,"UNDER 25",A1073&lt;=34,"25-34",A1073&lt;=44,"35-44",A1073&lt;=54,"45-54",TRUE,"OVER 55")</f>
        <v>45-54</v>
      </c>
    </row>
    <row r="1074" spans="1:37"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f t="shared" si="16"/>
        <v>0</v>
      </c>
      <c r="AK1074" t="str" cm="1">
        <f t="array" ref="AK1074">_xlfn.IFS(A1074&lt;25,"UNDER 25",A1074&lt;=34,"25-34",A1074&lt;=44,"35-44",A1074&lt;=54,"45-54",TRUE,"OVER 55")</f>
        <v>25-34</v>
      </c>
    </row>
    <row r="1075" spans="1:37"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f t="shared" si="16"/>
        <v>0</v>
      </c>
      <c r="AK1075" t="str" cm="1">
        <f t="array" ref="AK1075">_xlfn.IFS(A1075&lt;25,"UNDER 25",A1075&lt;=34,"25-34",A1075&lt;=44,"35-44",A1075&lt;=54,"45-54",TRUE,"OVER 55")</f>
        <v>25-34</v>
      </c>
    </row>
    <row r="1076" spans="1:37"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f t="shared" si="16"/>
        <v>0</v>
      </c>
      <c r="AK1076" t="str" cm="1">
        <f t="array" ref="AK1076">_xlfn.IFS(A1076&lt;25,"UNDER 25",A1076&lt;=34,"25-34",A1076&lt;=44,"35-44",A1076&lt;=54,"45-54",TRUE,"OVER 55")</f>
        <v>25-34</v>
      </c>
    </row>
    <row r="1077" spans="1:37"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f t="shared" si="16"/>
        <v>0</v>
      </c>
      <c r="AK1077" t="str" cm="1">
        <f t="array" ref="AK1077">_xlfn.IFS(A1077&lt;25,"UNDER 25",A1077&lt;=34,"25-34",A1077&lt;=44,"35-44",A1077&lt;=54,"45-54",TRUE,"OVER 55")</f>
        <v>25-34</v>
      </c>
    </row>
    <row r="1078" spans="1:37"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f t="shared" si="16"/>
        <v>0</v>
      </c>
      <c r="AK1078" t="str" cm="1">
        <f t="array" ref="AK1078">_xlfn.IFS(A1078&lt;25,"UNDER 25",A1078&lt;=34,"25-34",A1078&lt;=44,"35-44",A1078&lt;=54,"45-54",TRUE,"OVER 55")</f>
        <v>45-54</v>
      </c>
    </row>
    <row r="1079" spans="1:37"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f t="shared" si="16"/>
        <v>1</v>
      </c>
      <c r="AK1079" t="str" cm="1">
        <f t="array" ref="AK1079">_xlfn.IFS(A1079&lt;25,"UNDER 25",A1079&lt;=34,"25-34",A1079&lt;=44,"35-44",A1079&lt;=54,"45-54",TRUE,"OVER 55")</f>
        <v>25-34</v>
      </c>
    </row>
    <row r="1080" spans="1:37"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f t="shared" si="16"/>
        <v>0</v>
      </c>
      <c r="AK1080" t="str" cm="1">
        <f t="array" ref="AK1080">_xlfn.IFS(A1080&lt;25,"UNDER 25",A1080&lt;=34,"25-34",A1080&lt;=44,"35-44",A1080&lt;=54,"45-54",TRUE,"OVER 55")</f>
        <v>35-44</v>
      </c>
    </row>
    <row r="1081" spans="1:37"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f t="shared" si="16"/>
        <v>0</v>
      </c>
      <c r="AK1081" t="str" cm="1">
        <f t="array" ref="AK1081">_xlfn.IFS(A1081&lt;25,"UNDER 25",A1081&lt;=34,"25-34",A1081&lt;=44,"35-44",A1081&lt;=54,"45-54",TRUE,"OVER 55")</f>
        <v>35-44</v>
      </c>
    </row>
    <row r="1082" spans="1:37"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f t="shared" si="16"/>
        <v>0</v>
      </c>
      <c r="AK1082" t="str" cm="1">
        <f t="array" ref="AK1082">_xlfn.IFS(A1082&lt;25,"UNDER 25",A1082&lt;=34,"25-34",A1082&lt;=44,"35-44",A1082&lt;=54,"45-54",TRUE,"OVER 55")</f>
        <v>45-54</v>
      </c>
    </row>
    <row r="1083" spans="1:37"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f t="shared" si="16"/>
        <v>0</v>
      </c>
      <c r="AK1083" t="str" cm="1">
        <f t="array" ref="AK1083">_xlfn.IFS(A1083&lt;25,"UNDER 25",A1083&lt;=34,"25-34",A1083&lt;=44,"35-44",A1083&lt;=54,"45-54",TRUE,"OVER 55")</f>
        <v>35-44</v>
      </c>
    </row>
    <row r="1084" spans="1:37"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f t="shared" si="16"/>
        <v>0</v>
      </c>
      <c r="AK1084" t="str" cm="1">
        <f t="array" ref="AK1084">_xlfn.IFS(A1084&lt;25,"UNDER 25",A1084&lt;=34,"25-34",A1084&lt;=44,"35-44",A1084&lt;=54,"45-54",TRUE,"OVER 55")</f>
        <v>UNDER 25</v>
      </c>
    </row>
    <row r="1085" spans="1:37"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f t="shared" si="16"/>
        <v>1</v>
      </c>
      <c r="AK1085" t="str" cm="1">
        <f t="array" ref="AK1085">_xlfn.IFS(A1085&lt;25,"UNDER 25",A1085&lt;=34,"25-34",A1085&lt;=44,"35-44",A1085&lt;=54,"45-54",TRUE,"OVER 55")</f>
        <v>35-44</v>
      </c>
    </row>
    <row r="1086" spans="1:37"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f t="shared" si="16"/>
        <v>0</v>
      </c>
      <c r="AK1086" t="str" cm="1">
        <f t="array" ref="AK1086">_xlfn.IFS(A1086&lt;25,"UNDER 25",A1086&lt;=34,"25-34",A1086&lt;=44,"35-44",A1086&lt;=54,"45-54",TRUE,"OVER 55")</f>
        <v>25-34</v>
      </c>
    </row>
    <row r="1087" spans="1:37"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f t="shared" si="16"/>
        <v>1</v>
      </c>
      <c r="AK1087" t="str" cm="1">
        <f t="array" ref="AK1087">_xlfn.IFS(A1087&lt;25,"UNDER 25",A1087&lt;=34,"25-34",A1087&lt;=44,"35-44",A1087&lt;=54,"45-54",TRUE,"OVER 55")</f>
        <v>25-34</v>
      </c>
    </row>
    <row r="1088" spans="1:37"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f t="shared" si="16"/>
        <v>0</v>
      </c>
      <c r="AK1088" t="str" cm="1">
        <f t="array" ref="AK1088">_xlfn.IFS(A1088&lt;25,"UNDER 25",A1088&lt;=34,"25-34",A1088&lt;=44,"35-44",A1088&lt;=54,"45-54",TRUE,"OVER 55")</f>
        <v>45-54</v>
      </c>
    </row>
    <row r="1089" spans="1:37"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f t="shared" si="16"/>
        <v>0</v>
      </c>
      <c r="AK1089" t="str" cm="1">
        <f t="array" ref="AK1089">_xlfn.IFS(A1089&lt;25,"UNDER 25",A1089&lt;=34,"25-34",A1089&lt;=44,"35-44",A1089&lt;=54,"45-54",TRUE,"OVER 55")</f>
        <v>25-34</v>
      </c>
    </row>
    <row r="1090" spans="1:37"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f t="shared" si="16"/>
        <v>0</v>
      </c>
      <c r="AK1090" t="str" cm="1">
        <f t="array" ref="AK1090">_xlfn.IFS(A1090&lt;25,"UNDER 25",A1090&lt;=34,"25-34",A1090&lt;=44,"35-44",A1090&lt;=54,"45-54",TRUE,"OVER 55")</f>
        <v>35-44</v>
      </c>
    </row>
    <row r="1091" spans="1:37"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f t="shared" ref="AJ1091:AJ1154" si="17">IF(B1091="yes",1,0)</f>
        <v>0</v>
      </c>
      <c r="AK1091" t="str" cm="1">
        <f t="array" ref="AK1091">_xlfn.IFS(A1091&lt;25,"UNDER 25",A1091&lt;=34,"25-34",A1091&lt;=44,"35-44",A1091&lt;=54,"45-54",TRUE,"OVER 55")</f>
        <v>35-44</v>
      </c>
    </row>
    <row r="1092" spans="1:37"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f t="shared" si="17"/>
        <v>0</v>
      </c>
      <c r="AK1092" t="str" cm="1">
        <f t="array" ref="AK1092">_xlfn.IFS(A1092&lt;25,"UNDER 25",A1092&lt;=34,"25-34",A1092&lt;=44,"35-44",A1092&lt;=54,"45-54",TRUE,"OVER 55")</f>
        <v>25-34</v>
      </c>
    </row>
    <row r="1093" spans="1:37"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f t="shared" si="17"/>
        <v>0</v>
      </c>
      <c r="AK1093" t="str" cm="1">
        <f t="array" ref="AK1093">_xlfn.IFS(A1093&lt;25,"UNDER 25",A1093&lt;=34,"25-34",A1093&lt;=44,"35-44",A1093&lt;=54,"45-54",TRUE,"OVER 55")</f>
        <v>25-34</v>
      </c>
    </row>
    <row r="1094" spans="1:37"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f t="shared" si="17"/>
        <v>0</v>
      </c>
      <c r="AK1094" t="str" cm="1">
        <f t="array" ref="AK1094">_xlfn.IFS(A1094&lt;25,"UNDER 25",A1094&lt;=34,"25-34",A1094&lt;=44,"35-44",A1094&lt;=54,"45-54",TRUE,"OVER 55")</f>
        <v>45-54</v>
      </c>
    </row>
    <row r="1095" spans="1:37"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f t="shared" si="17"/>
        <v>0</v>
      </c>
      <c r="AK1095" t="str" cm="1">
        <f t="array" ref="AK1095">_xlfn.IFS(A1095&lt;25,"UNDER 25",A1095&lt;=34,"25-34",A1095&lt;=44,"35-44",A1095&lt;=54,"45-54",TRUE,"OVER 55")</f>
        <v>35-44</v>
      </c>
    </row>
    <row r="1096" spans="1:37"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f t="shared" si="17"/>
        <v>0</v>
      </c>
      <c r="AK1096" t="str" cm="1">
        <f t="array" ref="AK1096">_xlfn.IFS(A1096&lt;25,"UNDER 25",A1096&lt;=34,"25-34",A1096&lt;=44,"35-44",A1096&lt;=54,"45-54",TRUE,"OVER 55")</f>
        <v>35-44</v>
      </c>
    </row>
    <row r="1097" spans="1:37"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f t="shared" si="17"/>
        <v>0</v>
      </c>
      <c r="AK1097" t="str" cm="1">
        <f t="array" ref="AK1097">_xlfn.IFS(A1097&lt;25,"UNDER 25",A1097&lt;=34,"25-34",A1097&lt;=44,"35-44",A1097&lt;=54,"45-54",TRUE,"OVER 55")</f>
        <v>25-34</v>
      </c>
    </row>
    <row r="1098" spans="1:37"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f t="shared" si="17"/>
        <v>0</v>
      </c>
      <c r="AK1098" t="str" cm="1">
        <f t="array" ref="AK1098">_xlfn.IFS(A1098&lt;25,"UNDER 25",A1098&lt;=34,"25-34",A1098&lt;=44,"35-44",A1098&lt;=54,"45-54",TRUE,"OVER 55")</f>
        <v>35-44</v>
      </c>
    </row>
    <row r="1099" spans="1:37"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f t="shared" si="17"/>
        <v>0</v>
      </c>
      <c r="AK1099" t="str" cm="1">
        <f t="array" ref="AK1099">_xlfn.IFS(A1099&lt;25,"UNDER 25",A1099&lt;=34,"25-34",A1099&lt;=44,"35-44",A1099&lt;=54,"45-54",TRUE,"OVER 55")</f>
        <v>UNDER 25</v>
      </c>
    </row>
    <row r="1100" spans="1:37"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f t="shared" si="17"/>
        <v>0</v>
      </c>
      <c r="AK1100" t="str" cm="1">
        <f t="array" ref="AK1100">_xlfn.IFS(A1100&lt;25,"UNDER 25",A1100&lt;=34,"25-34",A1100&lt;=44,"35-44",A1100&lt;=54,"45-54",TRUE,"OVER 55")</f>
        <v>35-44</v>
      </c>
    </row>
    <row r="1101" spans="1:37"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f t="shared" si="17"/>
        <v>0</v>
      </c>
      <c r="AK1101" t="str" cm="1">
        <f t="array" ref="AK1101">_xlfn.IFS(A1101&lt;25,"UNDER 25",A1101&lt;=34,"25-34",A1101&lt;=44,"35-44",A1101&lt;=54,"45-54",TRUE,"OVER 55")</f>
        <v>45-54</v>
      </c>
    </row>
    <row r="1102" spans="1:37"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f t="shared" si="17"/>
        <v>0</v>
      </c>
      <c r="AK1102" t="str" cm="1">
        <f t="array" ref="AK1102">_xlfn.IFS(A1102&lt;25,"UNDER 25",A1102&lt;=34,"25-34",A1102&lt;=44,"35-44",A1102&lt;=54,"45-54",TRUE,"OVER 55")</f>
        <v>35-44</v>
      </c>
    </row>
    <row r="1103" spans="1:37"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f t="shared" si="17"/>
        <v>0</v>
      </c>
      <c r="AK1103" t="str" cm="1">
        <f t="array" ref="AK1103">_xlfn.IFS(A1103&lt;25,"UNDER 25",A1103&lt;=34,"25-34",A1103&lt;=44,"35-44",A1103&lt;=54,"45-54",TRUE,"OVER 55")</f>
        <v>25-34</v>
      </c>
    </row>
    <row r="1104" spans="1:37"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f t="shared" si="17"/>
        <v>0</v>
      </c>
      <c r="AK1104" t="str" cm="1">
        <f t="array" ref="AK1104">_xlfn.IFS(A1104&lt;25,"UNDER 25",A1104&lt;=34,"25-34",A1104&lt;=44,"35-44",A1104&lt;=54,"45-54",TRUE,"OVER 55")</f>
        <v>35-44</v>
      </c>
    </row>
    <row r="1105" spans="1:37"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f t="shared" si="17"/>
        <v>0</v>
      </c>
      <c r="AK1105" t="str" cm="1">
        <f t="array" ref="AK1105">_xlfn.IFS(A1105&lt;25,"UNDER 25",A1105&lt;=34,"25-34",A1105&lt;=44,"35-44",A1105&lt;=54,"45-54",TRUE,"OVER 55")</f>
        <v>45-54</v>
      </c>
    </row>
    <row r="1106" spans="1:37"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f t="shared" si="17"/>
        <v>0</v>
      </c>
      <c r="AK1106" t="str" cm="1">
        <f t="array" ref="AK1106">_xlfn.IFS(A1106&lt;25,"UNDER 25",A1106&lt;=34,"25-34",A1106&lt;=44,"35-44",A1106&lt;=54,"45-54",TRUE,"OVER 55")</f>
        <v>25-34</v>
      </c>
    </row>
    <row r="1107" spans="1:37"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f t="shared" si="17"/>
        <v>0</v>
      </c>
      <c r="AK1107" t="str" cm="1">
        <f t="array" ref="AK1107">_xlfn.IFS(A1107&lt;25,"UNDER 25",A1107&lt;=34,"25-34",A1107&lt;=44,"35-44",A1107&lt;=54,"45-54",TRUE,"OVER 55")</f>
        <v>25-34</v>
      </c>
    </row>
    <row r="1108" spans="1:37"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f t="shared" si="17"/>
        <v>1</v>
      </c>
      <c r="AK1108" t="str" cm="1">
        <f t="array" ref="AK1108">_xlfn.IFS(A1108&lt;25,"UNDER 25",A1108&lt;=34,"25-34",A1108&lt;=44,"35-44",A1108&lt;=54,"45-54",TRUE,"OVER 55")</f>
        <v>25-34</v>
      </c>
    </row>
    <row r="1109" spans="1:37"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f t="shared" si="17"/>
        <v>0</v>
      </c>
      <c r="AK1109" t="str" cm="1">
        <f t="array" ref="AK1109">_xlfn.IFS(A1109&lt;25,"UNDER 25",A1109&lt;=34,"25-34",A1109&lt;=44,"35-44",A1109&lt;=54,"45-54",TRUE,"OVER 55")</f>
        <v>35-44</v>
      </c>
    </row>
    <row r="1110" spans="1:37"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f t="shared" si="17"/>
        <v>0</v>
      </c>
      <c r="AK1110" t="str" cm="1">
        <f t="array" ref="AK1110">_xlfn.IFS(A1110&lt;25,"UNDER 25",A1110&lt;=34,"25-34",A1110&lt;=44,"35-44",A1110&lt;=54,"45-54",TRUE,"OVER 55")</f>
        <v>35-44</v>
      </c>
    </row>
    <row r="1111" spans="1:37"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f t="shared" si="17"/>
        <v>0</v>
      </c>
      <c r="AK1111" t="str" cm="1">
        <f t="array" ref="AK1111">_xlfn.IFS(A1111&lt;25,"UNDER 25",A1111&lt;=34,"25-34",A1111&lt;=44,"35-44",A1111&lt;=54,"45-54",TRUE,"OVER 55")</f>
        <v>25-34</v>
      </c>
    </row>
    <row r="1112" spans="1:37"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f t="shared" si="17"/>
        <v>1</v>
      </c>
      <c r="AK1112" t="str" cm="1">
        <f t="array" ref="AK1112">_xlfn.IFS(A1112&lt;25,"UNDER 25",A1112&lt;=34,"25-34",A1112&lt;=44,"35-44",A1112&lt;=54,"45-54",TRUE,"OVER 55")</f>
        <v>35-44</v>
      </c>
    </row>
    <row r="1113" spans="1:37"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f t="shared" si="17"/>
        <v>1</v>
      </c>
      <c r="AK1113" t="str" cm="1">
        <f t="array" ref="AK1113">_xlfn.IFS(A1113&lt;25,"UNDER 25",A1113&lt;=34,"25-34",A1113&lt;=44,"35-44",A1113&lt;=54,"45-54",TRUE,"OVER 55")</f>
        <v>45-54</v>
      </c>
    </row>
    <row r="1114" spans="1:37"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f t="shared" si="17"/>
        <v>1</v>
      </c>
      <c r="AK1114" t="str" cm="1">
        <f t="array" ref="AK1114">_xlfn.IFS(A1114&lt;25,"UNDER 25",A1114&lt;=34,"25-34",A1114&lt;=44,"35-44",A1114&lt;=54,"45-54",TRUE,"OVER 55")</f>
        <v>35-44</v>
      </c>
    </row>
    <row r="1115" spans="1:37"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f t="shared" si="17"/>
        <v>0</v>
      </c>
      <c r="AK1115" t="str" cm="1">
        <f t="array" ref="AK1115">_xlfn.IFS(A1115&lt;25,"UNDER 25",A1115&lt;=34,"25-34",A1115&lt;=44,"35-44",A1115&lt;=54,"45-54",TRUE,"OVER 55")</f>
        <v>25-34</v>
      </c>
    </row>
    <row r="1116" spans="1:37"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f t="shared" si="17"/>
        <v>0</v>
      </c>
      <c r="AK1116" t="str" cm="1">
        <f t="array" ref="AK1116">_xlfn.IFS(A1116&lt;25,"UNDER 25",A1116&lt;=34,"25-34",A1116&lt;=44,"35-44",A1116&lt;=54,"45-54",TRUE,"OVER 55")</f>
        <v>45-54</v>
      </c>
    </row>
    <row r="1117" spans="1:37"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f t="shared" si="17"/>
        <v>0</v>
      </c>
      <c r="AK1117" t="str" cm="1">
        <f t="array" ref="AK1117">_xlfn.IFS(A1117&lt;25,"UNDER 25",A1117&lt;=34,"25-34",A1117&lt;=44,"35-44",A1117&lt;=54,"45-54",TRUE,"OVER 55")</f>
        <v>25-34</v>
      </c>
    </row>
    <row r="1118" spans="1:37"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f t="shared" si="17"/>
        <v>0</v>
      </c>
      <c r="AK1118" t="str" cm="1">
        <f t="array" ref="AK1118">_xlfn.IFS(A1118&lt;25,"UNDER 25",A1118&lt;=34,"25-34",A1118&lt;=44,"35-44",A1118&lt;=54,"45-54",TRUE,"OVER 55")</f>
        <v>OVER 55</v>
      </c>
    </row>
    <row r="1119" spans="1:37"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f t="shared" si="17"/>
        <v>0</v>
      </c>
      <c r="AK1119" t="str" cm="1">
        <f t="array" ref="AK1119">_xlfn.IFS(A1119&lt;25,"UNDER 25",A1119&lt;=34,"25-34",A1119&lt;=44,"35-44",A1119&lt;=54,"45-54",TRUE,"OVER 55")</f>
        <v>25-34</v>
      </c>
    </row>
    <row r="1120" spans="1:37"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f t="shared" si="17"/>
        <v>0</v>
      </c>
      <c r="AK1120" t="str" cm="1">
        <f t="array" ref="AK1120">_xlfn.IFS(A1120&lt;25,"UNDER 25",A1120&lt;=34,"25-34",A1120&lt;=44,"35-44",A1120&lt;=54,"45-54",TRUE,"OVER 55")</f>
        <v>25-34</v>
      </c>
    </row>
    <row r="1121" spans="1:37"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f t="shared" si="17"/>
        <v>0</v>
      </c>
      <c r="AK1121" t="str" cm="1">
        <f t="array" ref="AK1121">_xlfn.IFS(A1121&lt;25,"UNDER 25",A1121&lt;=34,"25-34",A1121&lt;=44,"35-44",A1121&lt;=54,"45-54",TRUE,"OVER 55")</f>
        <v>35-44</v>
      </c>
    </row>
    <row r="1122" spans="1:37"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f t="shared" si="17"/>
        <v>0</v>
      </c>
      <c r="AK1122" t="str" cm="1">
        <f t="array" ref="AK1122">_xlfn.IFS(A1122&lt;25,"UNDER 25",A1122&lt;=34,"25-34",A1122&lt;=44,"35-44",A1122&lt;=54,"45-54",TRUE,"OVER 55")</f>
        <v>35-44</v>
      </c>
    </row>
    <row r="1123" spans="1:37"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f t="shared" si="17"/>
        <v>0</v>
      </c>
      <c r="AK1123" t="str" cm="1">
        <f t="array" ref="AK1123">_xlfn.IFS(A1123&lt;25,"UNDER 25",A1123&lt;=34,"25-34",A1123&lt;=44,"35-44",A1123&lt;=54,"45-54",TRUE,"OVER 55")</f>
        <v>35-44</v>
      </c>
    </row>
    <row r="1124" spans="1:37"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f t="shared" si="17"/>
        <v>0</v>
      </c>
      <c r="AK1124" t="str" cm="1">
        <f t="array" ref="AK1124">_xlfn.IFS(A1124&lt;25,"UNDER 25",A1124&lt;=34,"25-34",A1124&lt;=44,"35-44",A1124&lt;=54,"45-54",TRUE,"OVER 55")</f>
        <v>25-34</v>
      </c>
    </row>
    <row r="1125" spans="1:37"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f t="shared" si="17"/>
        <v>0</v>
      </c>
      <c r="AK1125" t="str" cm="1">
        <f t="array" ref="AK1125">_xlfn.IFS(A1125&lt;25,"UNDER 25",A1125&lt;=34,"25-34",A1125&lt;=44,"35-44",A1125&lt;=54,"45-54",TRUE,"OVER 55")</f>
        <v>35-44</v>
      </c>
    </row>
    <row r="1126" spans="1:37"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f t="shared" si="17"/>
        <v>0</v>
      </c>
      <c r="AK1126" t="str" cm="1">
        <f t="array" ref="AK1126">_xlfn.IFS(A1126&lt;25,"UNDER 25",A1126&lt;=34,"25-34",A1126&lt;=44,"35-44",A1126&lt;=54,"45-54",TRUE,"OVER 55")</f>
        <v>35-44</v>
      </c>
    </row>
    <row r="1127" spans="1:37"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f t="shared" si="17"/>
        <v>0</v>
      </c>
      <c r="AK1127" t="str" cm="1">
        <f t="array" ref="AK1127">_xlfn.IFS(A1127&lt;25,"UNDER 25",A1127&lt;=34,"25-34",A1127&lt;=44,"35-44",A1127&lt;=54,"45-54",TRUE,"OVER 55")</f>
        <v>25-34</v>
      </c>
    </row>
    <row r="1128" spans="1:37"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f t="shared" si="17"/>
        <v>0</v>
      </c>
      <c r="AK1128" t="str" cm="1">
        <f t="array" ref="AK1128">_xlfn.IFS(A1128&lt;25,"UNDER 25",A1128&lt;=34,"25-34",A1128&lt;=44,"35-44",A1128&lt;=54,"45-54",TRUE,"OVER 55")</f>
        <v>45-54</v>
      </c>
    </row>
    <row r="1129" spans="1:37"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f t="shared" si="17"/>
        <v>0</v>
      </c>
      <c r="AK1129" t="str" cm="1">
        <f t="array" ref="AK1129">_xlfn.IFS(A1129&lt;25,"UNDER 25",A1129&lt;=34,"25-34",A1129&lt;=44,"35-44",A1129&lt;=54,"45-54",TRUE,"OVER 55")</f>
        <v>UNDER 25</v>
      </c>
    </row>
    <row r="1130" spans="1:37"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f t="shared" si="17"/>
        <v>0</v>
      </c>
      <c r="AK1130" t="str" cm="1">
        <f t="array" ref="AK1130">_xlfn.IFS(A1130&lt;25,"UNDER 25",A1130&lt;=34,"25-34",A1130&lt;=44,"35-44",A1130&lt;=54,"45-54",TRUE,"OVER 55")</f>
        <v>35-44</v>
      </c>
    </row>
    <row r="1131" spans="1:37"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f t="shared" si="17"/>
        <v>0</v>
      </c>
      <c r="AK1131" t="str" cm="1">
        <f t="array" ref="AK1131">_xlfn.IFS(A1131&lt;25,"UNDER 25",A1131&lt;=34,"25-34",A1131&lt;=44,"35-44",A1131&lt;=54,"45-54",TRUE,"OVER 55")</f>
        <v>35-44</v>
      </c>
    </row>
    <row r="1132" spans="1:37"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f t="shared" si="17"/>
        <v>0</v>
      </c>
      <c r="AK1132" t="str" cm="1">
        <f t="array" ref="AK1132">_xlfn.IFS(A1132&lt;25,"UNDER 25",A1132&lt;=34,"25-34",A1132&lt;=44,"35-44",A1132&lt;=54,"45-54",TRUE,"OVER 55")</f>
        <v>35-44</v>
      </c>
    </row>
    <row r="1133" spans="1:37"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f t="shared" si="17"/>
        <v>0</v>
      </c>
      <c r="AK1133" t="str" cm="1">
        <f t="array" ref="AK1133">_xlfn.IFS(A1133&lt;25,"UNDER 25",A1133&lt;=34,"25-34",A1133&lt;=44,"35-44",A1133&lt;=54,"45-54",TRUE,"OVER 55")</f>
        <v>25-34</v>
      </c>
    </row>
    <row r="1134" spans="1:37"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f t="shared" si="17"/>
        <v>0</v>
      </c>
      <c r="AK1134" t="str" cm="1">
        <f t="array" ref="AK1134">_xlfn.IFS(A1134&lt;25,"UNDER 25",A1134&lt;=34,"25-34",A1134&lt;=44,"35-44",A1134&lt;=54,"45-54",TRUE,"OVER 55")</f>
        <v>35-44</v>
      </c>
    </row>
    <row r="1135" spans="1:37"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f t="shared" si="17"/>
        <v>0</v>
      </c>
      <c r="AK1135" t="str" cm="1">
        <f t="array" ref="AK1135">_xlfn.IFS(A1135&lt;25,"UNDER 25",A1135&lt;=34,"25-34",A1135&lt;=44,"35-44",A1135&lt;=54,"45-54",TRUE,"OVER 55")</f>
        <v>35-44</v>
      </c>
    </row>
    <row r="1136" spans="1:37"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f t="shared" si="17"/>
        <v>0</v>
      </c>
      <c r="AK1136" t="str" cm="1">
        <f t="array" ref="AK1136">_xlfn.IFS(A1136&lt;25,"UNDER 25",A1136&lt;=34,"25-34",A1136&lt;=44,"35-44",A1136&lt;=54,"45-54",TRUE,"OVER 55")</f>
        <v>35-44</v>
      </c>
    </row>
    <row r="1137" spans="1:37"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f t="shared" si="17"/>
        <v>0</v>
      </c>
      <c r="AK1137" t="str" cm="1">
        <f t="array" ref="AK1137">_xlfn.IFS(A1137&lt;25,"UNDER 25",A1137&lt;=34,"25-34",A1137&lt;=44,"35-44",A1137&lt;=54,"45-54",TRUE,"OVER 55")</f>
        <v>45-54</v>
      </c>
    </row>
    <row r="1138" spans="1:37"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f t="shared" si="17"/>
        <v>1</v>
      </c>
      <c r="AK1138" t="str" cm="1">
        <f t="array" ref="AK1138">_xlfn.IFS(A1138&lt;25,"UNDER 25",A1138&lt;=34,"25-34",A1138&lt;=44,"35-44",A1138&lt;=54,"45-54",TRUE,"OVER 55")</f>
        <v>25-34</v>
      </c>
    </row>
    <row r="1139" spans="1:37"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f t="shared" si="17"/>
        <v>0</v>
      </c>
      <c r="AK1139" t="str" cm="1">
        <f t="array" ref="AK1139">_xlfn.IFS(A1139&lt;25,"UNDER 25",A1139&lt;=34,"25-34",A1139&lt;=44,"35-44",A1139&lt;=54,"45-54",TRUE,"OVER 55")</f>
        <v>UNDER 25</v>
      </c>
    </row>
    <row r="1140" spans="1:37"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f t="shared" si="17"/>
        <v>0</v>
      </c>
      <c r="AK1140" t="str" cm="1">
        <f t="array" ref="AK1140">_xlfn.IFS(A1140&lt;25,"UNDER 25",A1140&lt;=34,"25-34",A1140&lt;=44,"35-44",A1140&lt;=54,"45-54",TRUE,"OVER 55")</f>
        <v>45-54</v>
      </c>
    </row>
    <row r="1141" spans="1:37"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f t="shared" si="17"/>
        <v>0</v>
      </c>
      <c r="AK1141" t="str" cm="1">
        <f t="array" ref="AK1141">_xlfn.IFS(A1141&lt;25,"UNDER 25",A1141&lt;=34,"25-34",A1141&lt;=44,"35-44",A1141&lt;=54,"45-54",TRUE,"OVER 55")</f>
        <v>25-34</v>
      </c>
    </row>
    <row r="1142" spans="1:37"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f t="shared" si="17"/>
        <v>0</v>
      </c>
      <c r="AK1142" t="str" cm="1">
        <f t="array" ref="AK1142">_xlfn.IFS(A1142&lt;25,"UNDER 25",A1142&lt;=34,"25-34",A1142&lt;=44,"35-44",A1142&lt;=54,"45-54",TRUE,"OVER 55")</f>
        <v>35-44</v>
      </c>
    </row>
    <row r="1143" spans="1:37"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f t="shared" si="17"/>
        <v>0</v>
      </c>
      <c r="AK1143" t="str" cm="1">
        <f t="array" ref="AK1143">_xlfn.IFS(A1143&lt;25,"UNDER 25",A1143&lt;=34,"25-34",A1143&lt;=44,"35-44",A1143&lt;=54,"45-54",TRUE,"OVER 55")</f>
        <v>25-34</v>
      </c>
    </row>
    <row r="1144" spans="1:37"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f t="shared" si="17"/>
        <v>0</v>
      </c>
      <c r="AK1144" t="str" cm="1">
        <f t="array" ref="AK1144">_xlfn.IFS(A1144&lt;25,"UNDER 25",A1144&lt;=34,"25-34",A1144&lt;=44,"35-44",A1144&lt;=54,"45-54",TRUE,"OVER 55")</f>
        <v>45-54</v>
      </c>
    </row>
    <row r="1145" spans="1:37"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f t="shared" si="17"/>
        <v>0</v>
      </c>
      <c r="AK1145" t="str" cm="1">
        <f t="array" ref="AK1145">_xlfn.IFS(A1145&lt;25,"UNDER 25",A1145&lt;=34,"25-34",A1145&lt;=44,"35-44",A1145&lt;=54,"45-54",TRUE,"OVER 55")</f>
        <v>45-54</v>
      </c>
    </row>
    <row r="1146" spans="1:37"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f t="shared" si="17"/>
        <v>0</v>
      </c>
      <c r="AK1146" t="str" cm="1">
        <f t="array" ref="AK1146">_xlfn.IFS(A1146&lt;25,"UNDER 25",A1146&lt;=34,"25-34",A1146&lt;=44,"35-44",A1146&lt;=54,"45-54",TRUE,"OVER 55")</f>
        <v>25-34</v>
      </c>
    </row>
    <row r="1147" spans="1:37"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f t="shared" si="17"/>
        <v>0</v>
      </c>
      <c r="AK1147" t="str" cm="1">
        <f t="array" ref="AK1147">_xlfn.IFS(A1147&lt;25,"UNDER 25",A1147&lt;=34,"25-34",A1147&lt;=44,"35-44",A1147&lt;=54,"45-54",TRUE,"OVER 55")</f>
        <v>35-44</v>
      </c>
    </row>
    <row r="1148" spans="1:37"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f t="shared" si="17"/>
        <v>0</v>
      </c>
      <c r="AK1148" t="str" cm="1">
        <f t="array" ref="AK1148">_xlfn.IFS(A1148&lt;25,"UNDER 25",A1148&lt;=34,"25-34",A1148&lt;=44,"35-44",A1148&lt;=54,"45-54",TRUE,"OVER 55")</f>
        <v>25-34</v>
      </c>
    </row>
    <row r="1149" spans="1:37"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f t="shared" si="17"/>
        <v>0</v>
      </c>
      <c r="AK1149" t="str" cm="1">
        <f t="array" ref="AK1149">_xlfn.IFS(A1149&lt;25,"UNDER 25",A1149&lt;=34,"25-34",A1149&lt;=44,"35-44",A1149&lt;=54,"45-54",TRUE,"OVER 55")</f>
        <v>45-54</v>
      </c>
    </row>
    <row r="1150" spans="1:37"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f t="shared" si="17"/>
        <v>0</v>
      </c>
      <c r="AK1150" t="str" cm="1">
        <f t="array" ref="AK1150">_xlfn.IFS(A1150&lt;25,"UNDER 25",A1150&lt;=34,"25-34",A1150&lt;=44,"35-44",A1150&lt;=54,"45-54",TRUE,"OVER 55")</f>
        <v>35-44</v>
      </c>
    </row>
    <row r="1151" spans="1:37"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f t="shared" si="17"/>
        <v>0</v>
      </c>
      <c r="AK1151" t="str" cm="1">
        <f t="array" ref="AK1151">_xlfn.IFS(A1151&lt;25,"UNDER 25",A1151&lt;=34,"25-34",A1151&lt;=44,"35-44",A1151&lt;=54,"45-54",TRUE,"OVER 55")</f>
        <v>25-34</v>
      </c>
    </row>
    <row r="1152" spans="1:37"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f t="shared" si="17"/>
        <v>0</v>
      </c>
      <c r="AK1152" t="str" cm="1">
        <f t="array" ref="AK1152">_xlfn.IFS(A1152&lt;25,"UNDER 25",A1152&lt;=34,"25-34",A1152&lt;=44,"35-44",A1152&lt;=54,"45-54",TRUE,"OVER 55")</f>
        <v>35-44</v>
      </c>
    </row>
    <row r="1153" spans="1:37"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f t="shared" si="17"/>
        <v>0</v>
      </c>
      <c r="AK1153" t="str" cm="1">
        <f t="array" ref="AK1153">_xlfn.IFS(A1153&lt;25,"UNDER 25",A1153&lt;=34,"25-34",A1153&lt;=44,"35-44",A1153&lt;=54,"45-54",TRUE,"OVER 55")</f>
        <v>25-34</v>
      </c>
    </row>
    <row r="1154" spans="1:37"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f t="shared" si="17"/>
        <v>0</v>
      </c>
      <c r="AK1154" t="str" cm="1">
        <f t="array" ref="AK1154">_xlfn.IFS(A1154&lt;25,"UNDER 25",A1154&lt;=34,"25-34",A1154&lt;=44,"35-44",A1154&lt;=54,"45-54",TRUE,"OVER 55")</f>
        <v>UNDER 25</v>
      </c>
    </row>
    <row r="1155" spans="1:37"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f t="shared" ref="AJ1155:AJ1218" si="18">IF(B1155="yes",1,0)</f>
        <v>1</v>
      </c>
      <c r="AK1155" t="str" cm="1">
        <f t="array" ref="AK1155">_xlfn.IFS(A1155&lt;25,"UNDER 25",A1155&lt;=34,"25-34",A1155&lt;=44,"35-44",A1155&lt;=54,"45-54",TRUE,"OVER 55")</f>
        <v>UNDER 25</v>
      </c>
    </row>
    <row r="1156" spans="1:37"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f t="shared" si="18"/>
        <v>0</v>
      </c>
      <c r="AK1156" t="str" cm="1">
        <f t="array" ref="AK1156">_xlfn.IFS(A1156&lt;25,"UNDER 25",A1156&lt;=34,"25-34",A1156&lt;=44,"35-44",A1156&lt;=54,"45-54",TRUE,"OVER 55")</f>
        <v>45-54</v>
      </c>
    </row>
    <row r="1157" spans="1:37"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f t="shared" si="18"/>
        <v>0</v>
      </c>
      <c r="AK1157" t="str" cm="1">
        <f t="array" ref="AK1157">_xlfn.IFS(A1157&lt;25,"UNDER 25",A1157&lt;=34,"25-34",A1157&lt;=44,"35-44",A1157&lt;=54,"45-54",TRUE,"OVER 55")</f>
        <v>35-44</v>
      </c>
    </row>
    <row r="1158" spans="1:37"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f t="shared" si="18"/>
        <v>0</v>
      </c>
      <c r="AK1158" t="str" cm="1">
        <f t="array" ref="AK1158">_xlfn.IFS(A1158&lt;25,"UNDER 25",A1158&lt;=34,"25-34",A1158&lt;=44,"35-44",A1158&lt;=54,"45-54",TRUE,"OVER 55")</f>
        <v>35-44</v>
      </c>
    </row>
    <row r="1159" spans="1:37"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f t="shared" si="18"/>
        <v>0</v>
      </c>
      <c r="AK1159" t="str" cm="1">
        <f t="array" ref="AK1159">_xlfn.IFS(A1159&lt;25,"UNDER 25",A1159&lt;=34,"25-34",A1159&lt;=44,"35-44",A1159&lt;=54,"45-54",TRUE,"OVER 55")</f>
        <v>35-44</v>
      </c>
    </row>
    <row r="1160" spans="1:37"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f t="shared" si="18"/>
        <v>0</v>
      </c>
      <c r="AK1160" t="str" cm="1">
        <f t="array" ref="AK1160">_xlfn.IFS(A1160&lt;25,"UNDER 25",A1160&lt;=34,"25-34",A1160&lt;=44,"35-44",A1160&lt;=54,"45-54",TRUE,"OVER 55")</f>
        <v>35-44</v>
      </c>
    </row>
    <row r="1161" spans="1:37"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f t="shared" si="18"/>
        <v>0</v>
      </c>
      <c r="AK1161" t="str" cm="1">
        <f t="array" ref="AK1161">_xlfn.IFS(A1161&lt;25,"UNDER 25",A1161&lt;=34,"25-34",A1161&lt;=44,"35-44",A1161&lt;=54,"45-54",TRUE,"OVER 55")</f>
        <v>35-44</v>
      </c>
    </row>
    <row r="1162" spans="1:37"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f t="shared" si="18"/>
        <v>0</v>
      </c>
      <c r="AK1162" t="str" cm="1">
        <f t="array" ref="AK1162">_xlfn.IFS(A1162&lt;25,"UNDER 25",A1162&lt;=34,"25-34",A1162&lt;=44,"35-44",A1162&lt;=54,"45-54",TRUE,"OVER 55")</f>
        <v>45-54</v>
      </c>
    </row>
    <row r="1163" spans="1:37"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f t="shared" si="18"/>
        <v>0</v>
      </c>
      <c r="AK1163" t="str" cm="1">
        <f t="array" ref="AK1163">_xlfn.IFS(A1163&lt;25,"UNDER 25",A1163&lt;=34,"25-34",A1163&lt;=44,"35-44",A1163&lt;=54,"45-54",TRUE,"OVER 55")</f>
        <v>35-44</v>
      </c>
    </row>
    <row r="1164" spans="1:37"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f t="shared" si="18"/>
        <v>1</v>
      </c>
      <c r="AK1164" t="str" cm="1">
        <f t="array" ref="AK1164">_xlfn.IFS(A1164&lt;25,"UNDER 25",A1164&lt;=34,"25-34",A1164&lt;=44,"35-44",A1164&lt;=54,"45-54",TRUE,"OVER 55")</f>
        <v>35-44</v>
      </c>
    </row>
    <row r="1165" spans="1:37"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f t="shared" si="18"/>
        <v>0</v>
      </c>
      <c r="AK1165" t="str" cm="1">
        <f t="array" ref="AK1165">_xlfn.IFS(A1165&lt;25,"UNDER 25",A1165&lt;=34,"25-34",A1165&lt;=44,"35-44",A1165&lt;=54,"45-54",TRUE,"OVER 55")</f>
        <v>35-44</v>
      </c>
    </row>
    <row r="1166" spans="1:37"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f t="shared" si="18"/>
        <v>0</v>
      </c>
      <c r="AK1166" t="str" cm="1">
        <f t="array" ref="AK1166">_xlfn.IFS(A1166&lt;25,"UNDER 25",A1166&lt;=34,"25-34",A1166&lt;=44,"35-44",A1166&lt;=54,"45-54",TRUE,"OVER 55")</f>
        <v>35-44</v>
      </c>
    </row>
    <row r="1167" spans="1:37"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f t="shared" si="18"/>
        <v>0</v>
      </c>
      <c r="AK1167" t="str" cm="1">
        <f t="array" ref="AK1167">_xlfn.IFS(A1167&lt;25,"UNDER 25",A1167&lt;=34,"25-34",A1167&lt;=44,"35-44",A1167&lt;=54,"45-54",TRUE,"OVER 55")</f>
        <v>35-44</v>
      </c>
    </row>
    <row r="1168" spans="1:37"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f t="shared" si="18"/>
        <v>0</v>
      </c>
      <c r="AK1168" t="str" cm="1">
        <f t="array" ref="AK1168">_xlfn.IFS(A1168&lt;25,"UNDER 25",A1168&lt;=34,"25-34",A1168&lt;=44,"35-44",A1168&lt;=54,"45-54",TRUE,"OVER 55")</f>
        <v>45-54</v>
      </c>
    </row>
    <row r="1169" spans="1:37"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f t="shared" si="18"/>
        <v>1</v>
      </c>
      <c r="AK1169" t="str" cm="1">
        <f t="array" ref="AK1169">_xlfn.IFS(A1169&lt;25,"UNDER 25",A1169&lt;=34,"25-34",A1169&lt;=44,"35-44",A1169&lt;=54,"45-54",TRUE,"OVER 55")</f>
        <v>35-44</v>
      </c>
    </row>
    <row r="1170" spans="1:37"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f t="shared" si="18"/>
        <v>0</v>
      </c>
      <c r="AK1170" t="str" cm="1">
        <f t="array" ref="AK1170">_xlfn.IFS(A1170&lt;25,"UNDER 25",A1170&lt;=34,"25-34",A1170&lt;=44,"35-44",A1170&lt;=54,"45-54",TRUE,"OVER 55")</f>
        <v>UNDER 25</v>
      </c>
    </row>
    <row r="1171" spans="1:37"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f t="shared" si="18"/>
        <v>0</v>
      </c>
      <c r="AK1171" t="str" cm="1">
        <f t="array" ref="AK1171">_xlfn.IFS(A1171&lt;25,"UNDER 25",A1171&lt;=34,"25-34",A1171&lt;=44,"35-44",A1171&lt;=54,"45-54",TRUE,"OVER 55")</f>
        <v>25-34</v>
      </c>
    </row>
    <row r="1172" spans="1:37"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f t="shared" si="18"/>
        <v>0</v>
      </c>
      <c r="AK1172" t="str" cm="1">
        <f t="array" ref="AK1172">_xlfn.IFS(A1172&lt;25,"UNDER 25",A1172&lt;=34,"25-34",A1172&lt;=44,"35-44",A1172&lt;=54,"45-54",TRUE,"OVER 55")</f>
        <v>25-34</v>
      </c>
    </row>
    <row r="1173" spans="1:37"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f t="shared" si="18"/>
        <v>1</v>
      </c>
      <c r="AK1173" t="str" cm="1">
        <f t="array" ref="AK1173">_xlfn.IFS(A1173&lt;25,"UNDER 25",A1173&lt;=34,"25-34",A1173&lt;=44,"35-44",A1173&lt;=54,"45-54",TRUE,"OVER 55")</f>
        <v>35-44</v>
      </c>
    </row>
    <row r="1174" spans="1:37"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f t="shared" si="18"/>
        <v>0</v>
      </c>
      <c r="AK1174" t="str" cm="1">
        <f t="array" ref="AK1174">_xlfn.IFS(A1174&lt;25,"UNDER 25",A1174&lt;=34,"25-34",A1174&lt;=44,"35-44",A1174&lt;=54,"45-54",TRUE,"OVER 55")</f>
        <v>25-34</v>
      </c>
    </row>
    <row r="1175" spans="1:37"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f t="shared" si="18"/>
        <v>0</v>
      </c>
      <c r="AK1175" t="str" cm="1">
        <f t="array" ref="AK1175">_xlfn.IFS(A1175&lt;25,"UNDER 25",A1175&lt;=34,"25-34",A1175&lt;=44,"35-44",A1175&lt;=54,"45-54",TRUE,"OVER 55")</f>
        <v>35-44</v>
      </c>
    </row>
    <row r="1176" spans="1:37"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f t="shared" si="18"/>
        <v>0</v>
      </c>
      <c r="AK1176" t="str" cm="1">
        <f t="array" ref="AK1176">_xlfn.IFS(A1176&lt;25,"UNDER 25",A1176&lt;=34,"25-34",A1176&lt;=44,"35-44",A1176&lt;=54,"45-54",TRUE,"OVER 55")</f>
        <v>25-34</v>
      </c>
    </row>
    <row r="1177" spans="1:37"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f t="shared" si="18"/>
        <v>0</v>
      </c>
      <c r="AK1177" t="str" cm="1">
        <f t="array" ref="AK1177">_xlfn.IFS(A1177&lt;25,"UNDER 25",A1177&lt;=34,"25-34",A1177&lt;=44,"35-44",A1177&lt;=54,"45-54",TRUE,"OVER 55")</f>
        <v>35-44</v>
      </c>
    </row>
    <row r="1178" spans="1:37"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f t="shared" si="18"/>
        <v>0</v>
      </c>
      <c r="AK1178" t="str" cm="1">
        <f t="array" ref="AK1178">_xlfn.IFS(A1178&lt;25,"UNDER 25",A1178&lt;=34,"25-34",A1178&lt;=44,"35-44",A1178&lt;=54,"45-54",TRUE,"OVER 55")</f>
        <v>45-54</v>
      </c>
    </row>
    <row r="1179" spans="1:37"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f t="shared" si="18"/>
        <v>0</v>
      </c>
      <c r="AK1179" t="str" cm="1">
        <f t="array" ref="AK1179">_xlfn.IFS(A1179&lt;25,"UNDER 25",A1179&lt;=34,"25-34",A1179&lt;=44,"35-44",A1179&lt;=54,"45-54",TRUE,"OVER 55")</f>
        <v>45-54</v>
      </c>
    </row>
    <row r="1180" spans="1:37"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f t="shared" si="18"/>
        <v>0</v>
      </c>
      <c r="AK1180" t="str" cm="1">
        <f t="array" ref="AK1180">_xlfn.IFS(A1180&lt;25,"UNDER 25",A1180&lt;=34,"25-34",A1180&lt;=44,"35-44",A1180&lt;=54,"45-54",TRUE,"OVER 55")</f>
        <v>UNDER 25</v>
      </c>
    </row>
    <row r="1181" spans="1:37"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f t="shared" si="18"/>
        <v>0</v>
      </c>
      <c r="AK1181" t="str" cm="1">
        <f t="array" ref="AK1181">_xlfn.IFS(A1181&lt;25,"UNDER 25",A1181&lt;=34,"25-34",A1181&lt;=44,"35-44",A1181&lt;=54,"45-54",TRUE,"OVER 55")</f>
        <v>25-34</v>
      </c>
    </row>
    <row r="1182" spans="1:37"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f t="shared" si="18"/>
        <v>0</v>
      </c>
      <c r="AK1182" t="str" cm="1">
        <f t="array" ref="AK1182">_xlfn.IFS(A1182&lt;25,"UNDER 25",A1182&lt;=34,"25-34",A1182&lt;=44,"35-44",A1182&lt;=54,"45-54",TRUE,"OVER 55")</f>
        <v>35-44</v>
      </c>
    </row>
    <row r="1183" spans="1:37"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f t="shared" si="18"/>
        <v>0</v>
      </c>
      <c r="AK1183" t="str" cm="1">
        <f t="array" ref="AK1183">_xlfn.IFS(A1183&lt;25,"UNDER 25",A1183&lt;=34,"25-34",A1183&lt;=44,"35-44",A1183&lt;=54,"45-54",TRUE,"OVER 55")</f>
        <v>45-54</v>
      </c>
    </row>
    <row r="1184" spans="1:37"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f t="shared" si="18"/>
        <v>0</v>
      </c>
      <c r="AK1184" t="str" cm="1">
        <f t="array" ref="AK1184">_xlfn.IFS(A1184&lt;25,"UNDER 25",A1184&lt;=34,"25-34",A1184&lt;=44,"35-44",A1184&lt;=54,"45-54",TRUE,"OVER 55")</f>
        <v>35-44</v>
      </c>
    </row>
    <row r="1185" spans="1:37"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f t="shared" si="18"/>
        <v>0</v>
      </c>
      <c r="AK1185" t="str" cm="1">
        <f t="array" ref="AK1185">_xlfn.IFS(A1185&lt;25,"UNDER 25",A1185&lt;=34,"25-34",A1185&lt;=44,"35-44",A1185&lt;=54,"45-54",TRUE,"OVER 55")</f>
        <v>35-44</v>
      </c>
    </row>
    <row r="1186" spans="1:37"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f t="shared" si="18"/>
        <v>0</v>
      </c>
      <c r="AK1186" t="str" cm="1">
        <f t="array" ref="AK1186">_xlfn.IFS(A1186&lt;25,"UNDER 25",A1186&lt;=34,"25-34",A1186&lt;=44,"35-44",A1186&lt;=54,"45-54",TRUE,"OVER 55")</f>
        <v>45-54</v>
      </c>
    </row>
    <row r="1187" spans="1:37"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f t="shared" si="18"/>
        <v>0</v>
      </c>
      <c r="AK1187" t="str" cm="1">
        <f t="array" ref="AK1187">_xlfn.IFS(A1187&lt;25,"UNDER 25",A1187&lt;=34,"25-34",A1187&lt;=44,"35-44",A1187&lt;=54,"45-54",TRUE,"OVER 55")</f>
        <v>35-44</v>
      </c>
    </row>
    <row r="1188" spans="1:37"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f t="shared" si="18"/>
        <v>1</v>
      </c>
      <c r="AK1188" t="str" cm="1">
        <f t="array" ref="AK1188">_xlfn.IFS(A1188&lt;25,"UNDER 25",A1188&lt;=34,"25-34",A1188&lt;=44,"35-44",A1188&lt;=54,"45-54",TRUE,"OVER 55")</f>
        <v>35-44</v>
      </c>
    </row>
    <row r="1189" spans="1:37"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f t="shared" si="18"/>
        <v>0</v>
      </c>
      <c r="AK1189" t="str" cm="1">
        <f t="array" ref="AK1189">_xlfn.IFS(A1189&lt;25,"UNDER 25",A1189&lt;=34,"25-34",A1189&lt;=44,"35-44",A1189&lt;=54,"45-54",TRUE,"OVER 55")</f>
        <v>35-44</v>
      </c>
    </row>
    <row r="1190" spans="1:37"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f t="shared" si="18"/>
        <v>0</v>
      </c>
      <c r="AK1190" t="str" cm="1">
        <f t="array" ref="AK1190">_xlfn.IFS(A1190&lt;25,"UNDER 25",A1190&lt;=34,"25-34",A1190&lt;=44,"35-44",A1190&lt;=54,"45-54",TRUE,"OVER 55")</f>
        <v>25-34</v>
      </c>
    </row>
    <row r="1191" spans="1:37"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f t="shared" si="18"/>
        <v>0</v>
      </c>
      <c r="AK1191" t="str" cm="1">
        <f t="array" ref="AK1191">_xlfn.IFS(A1191&lt;25,"UNDER 25",A1191&lt;=34,"25-34",A1191&lt;=44,"35-44",A1191&lt;=54,"45-54",TRUE,"OVER 55")</f>
        <v>25-34</v>
      </c>
    </row>
    <row r="1192" spans="1:37"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f t="shared" si="18"/>
        <v>0</v>
      </c>
      <c r="AK1192" t="str" cm="1">
        <f t="array" ref="AK1192">_xlfn.IFS(A1192&lt;25,"UNDER 25",A1192&lt;=34,"25-34",A1192&lt;=44,"35-44",A1192&lt;=54,"45-54",TRUE,"OVER 55")</f>
        <v>25-34</v>
      </c>
    </row>
    <row r="1193" spans="1:37"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f t="shared" si="18"/>
        <v>0</v>
      </c>
      <c r="AK1193" t="str" cm="1">
        <f t="array" ref="AK1193">_xlfn.IFS(A1193&lt;25,"UNDER 25",A1193&lt;=34,"25-34",A1193&lt;=44,"35-44",A1193&lt;=54,"45-54",TRUE,"OVER 55")</f>
        <v>25-34</v>
      </c>
    </row>
    <row r="1194" spans="1:37"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f t="shared" si="18"/>
        <v>0</v>
      </c>
      <c r="AK1194" t="str" cm="1">
        <f t="array" ref="AK1194">_xlfn.IFS(A1194&lt;25,"UNDER 25",A1194&lt;=34,"25-34",A1194&lt;=44,"35-44",A1194&lt;=54,"45-54",TRUE,"OVER 55")</f>
        <v>45-54</v>
      </c>
    </row>
    <row r="1195" spans="1:37"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f t="shared" si="18"/>
        <v>0</v>
      </c>
      <c r="AK1195" t="str" cm="1">
        <f t="array" ref="AK1195">_xlfn.IFS(A1195&lt;25,"UNDER 25",A1195&lt;=34,"25-34",A1195&lt;=44,"35-44",A1195&lt;=54,"45-54",TRUE,"OVER 55")</f>
        <v>35-44</v>
      </c>
    </row>
    <row r="1196" spans="1:37"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f t="shared" si="18"/>
        <v>0</v>
      </c>
      <c r="AK1196" t="str" cm="1">
        <f t="array" ref="AK1196">_xlfn.IFS(A1196&lt;25,"UNDER 25",A1196&lt;=34,"25-34",A1196&lt;=44,"35-44",A1196&lt;=54,"45-54",TRUE,"OVER 55")</f>
        <v>45-54</v>
      </c>
    </row>
    <row r="1197" spans="1:37"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f t="shared" si="18"/>
        <v>0</v>
      </c>
      <c r="AK1197" t="str" cm="1">
        <f t="array" ref="AK1197">_xlfn.IFS(A1197&lt;25,"UNDER 25",A1197&lt;=34,"25-34",A1197&lt;=44,"35-44",A1197&lt;=54,"45-54",TRUE,"OVER 55")</f>
        <v>45-54</v>
      </c>
    </row>
    <row r="1198" spans="1:37"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f t="shared" si="18"/>
        <v>0</v>
      </c>
      <c r="AK1198" t="str" cm="1">
        <f t="array" ref="AK1198">_xlfn.IFS(A1198&lt;25,"UNDER 25",A1198&lt;=34,"25-34",A1198&lt;=44,"35-44",A1198&lt;=54,"45-54",TRUE,"OVER 55")</f>
        <v>35-44</v>
      </c>
    </row>
    <row r="1199" spans="1:37"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f t="shared" si="18"/>
        <v>0</v>
      </c>
      <c r="AK1199" t="str" cm="1">
        <f t="array" ref="AK1199">_xlfn.IFS(A1199&lt;25,"UNDER 25",A1199&lt;=34,"25-34",A1199&lt;=44,"35-44",A1199&lt;=54,"45-54",TRUE,"OVER 55")</f>
        <v>UNDER 25</v>
      </c>
    </row>
    <row r="1200" spans="1:37"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f t="shared" si="18"/>
        <v>0</v>
      </c>
      <c r="AK1200" t="str" cm="1">
        <f t="array" ref="AK1200">_xlfn.IFS(A1200&lt;25,"UNDER 25",A1200&lt;=34,"25-34",A1200&lt;=44,"35-44",A1200&lt;=54,"45-54",TRUE,"OVER 55")</f>
        <v>25-34</v>
      </c>
    </row>
    <row r="1201" spans="1:37"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f t="shared" si="18"/>
        <v>0</v>
      </c>
      <c r="AK1201" t="str" cm="1">
        <f t="array" ref="AK1201">_xlfn.IFS(A1201&lt;25,"UNDER 25",A1201&lt;=34,"25-34",A1201&lt;=44,"35-44",A1201&lt;=54,"45-54",TRUE,"OVER 55")</f>
        <v>35-44</v>
      </c>
    </row>
    <row r="1202" spans="1:37"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f t="shared" si="18"/>
        <v>0</v>
      </c>
      <c r="AK1202" t="str" cm="1">
        <f t="array" ref="AK1202">_xlfn.IFS(A1202&lt;25,"UNDER 25",A1202&lt;=34,"25-34",A1202&lt;=44,"35-44",A1202&lt;=54,"45-54",TRUE,"OVER 55")</f>
        <v>35-44</v>
      </c>
    </row>
    <row r="1203" spans="1:37"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f t="shared" si="18"/>
        <v>1</v>
      </c>
      <c r="AK1203" t="str" cm="1">
        <f t="array" ref="AK1203">_xlfn.IFS(A1203&lt;25,"UNDER 25",A1203&lt;=34,"25-34",A1203&lt;=44,"35-44",A1203&lt;=54,"45-54",TRUE,"OVER 55")</f>
        <v>UNDER 25</v>
      </c>
    </row>
    <row r="1204" spans="1:37"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f t="shared" si="18"/>
        <v>0</v>
      </c>
      <c r="AK1204" t="str" cm="1">
        <f t="array" ref="AK1204">_xlfn.IFS(A1204&lt;25,"UNDER 25",A1204&lt;=34,"25-34",A1204&lt;=44,"35-44",A1204&lt;=54,"45-54",TRUE,"OVER 55")</f>
        <v>35-44</v>
      </c>
    </row>
    <row r="1205" spans="1:37"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f t="shared" si="18"/>
        <v>0</v>
      </c>
      <c r="AK1205" t="str" cm="1">
        <f t="array" ref="AK1205">_xlfn.IFS(A1205&lt;25,"UNDER 25",A1205&lt;=34,"25-34",A1205&lt;=44,"35-44",A1205&lt;=54,"45-54",TRUE,"OVER 55")</f>
        <v>45-54</v>
      </c>
    </row>
    <row r="1206" spans="1:37"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f t="shared" si="18"/>
        <v>1</v>
      </c>
      <c r="AK1206" t="str" cm="1">
        <f t="array" ref="AK1206">_xlfn.IFS(A1206&lt;25,"UNDER 25",A1206&lt;=34,"25-34",A1206&lt;=44,"35-44",A1206&lt;=54,"45-54",TRUE,"OVER 55")</f>
        <v>45-54</v>
      </c>
    </row>
    <row r="1207" spans="1:37"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f t="shared" si="18"/>
        <v>1</v>
      </c>
      <c r="AK1207" t="str" cm="1">
        <f t="array" ref="AK1207">_xlfn.IFS(A1207&lt;25,"UNDER 25",A1207&lt;=34,"25-34",A1207&lt;=44,"35-44",A1207&lt;=54,"45-54",TRUE,"OVER 55")</f>
        <v>25-34</v>
      </c>
    </row>
    <row r="1208" spans="1:37"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f t="shared" si="18"/>
        <v>0</v>
      </c>
      <c r="AK1208" t="str" cm="1">
        <f t="array" ref="AK1208">_xlfn.IFS(A1208&lt;25,"UNDER 25",A1208&lt;=34,"25-34",A1208&lt;=44,"35-44",A1208&lt;=54,"45-54",TRUE,"OVER 55")</f>
        <v>25-34</v>
      </c>
    </row>
    <row r="1209" spans="1:37"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f t="shared" si="18"/>
        <v>0</v>
      </c>
      <c r="AK1209" t="str" cm="1">
        <f t="array" ref="AK1209">_xlfn.IFS(A1209&lt;25,"UNDER 25",A1209&lt;=34,"25-34",A1209&lt;=44,"35-44",A1209&lt;=54,"45-54",TRUE,"OVER 55")</f>
        <v>OVER 55</v>
      </c>
    </row>
    <row r="1210" spans="1:37"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f t="shared" si="18"/>
        <v>0</v>
      </c>
      <c r="AK1210" t="str" cm="1">
        <f t="array" ref="AK1210">_xlfn.IFS(A1210&lt;25,"UNDER 25",A1210&lt;=34,"25-34",A1210&lt;=44,"35-44",A1210&lt;=54,"45-54",TRUE,"OVER 55")</f>
        <v>25-34</v>
      </c>
    </row>
    <row r="1211" spans="1:37"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f t="shared" si="18"/>
        <v>0</v>
      </c>
      <c r="AK1211" t="str" cm="1">
        <f t="array" ref="AK1211">_xlfn.IFS(A1211&lt;25,"UNDER 25",A1211&lt;=34,"25-34",A1211&lt;=44,"35-44",A1211&lt;=54,"45-54",TRUE,"OVER 55")</f>
        <v>OVER 55</v>
      </c>
    </row>
    <row r="1212" spans="1:37"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f t="shared" si="18"/>
        <v>0</v>
      </c>
      <c r="AK1212" t="str" cm="1">
        <f t="array" ref="AK1212">_xlfn.IFS(A1212&lt;25,"UNDER 25",A1212&lt;=34,"25-34",A1212&lt;=44,"35-44",A1212&lt;=54,"45-54",TRUE,"OVER 55")</f>
        <v>25-34</v>
      </c>
    </row>
    <row r="1213" spans="1:37"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f t="shared" si="18"/>
        <v>0</v>
      </c>
      <c r="AK1213" t="str" cm="1">
        <f t="array" ref="AK1213">_xlfn.IFS(A1213&lt;25,"UNDER 25",A1213&lt;=34,"25-34",A1213&lt;=44,"35-44",A1213&lt;=54,"45-54",TRUE,"OVER 55")</f>
        <v>35-44</v>
      </c>
    </row>
    <row r="1214" spans="1:37"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f t="shared" si="18"/>
        <v>0</v>
      </c>
      <c r="AK1214" t="str" cm="1">
        <f t="array" ref="AK1214">_xlfn.IFS(A1214&lt;25,"UNDER 25",A1214&lt;=34,"25-34",A1214&lt;=44,"35-44",A1214&lt;=54,"45-54",TRUE,"OVER 55")</f>
        <v>25-34</v>
      </c>
    </row>
    <row r="1215" spans="1:37"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f t="shared" si="18"/>
        <v>1</v>
      </c>
      <c r="AK1215" t="str" cm="1">
        <f t="array" ref="AK1215">_xlfn.IFS(A1215&lt;25,"UNDER 25",A1215&lt;=34,"25-34",A1215&lt;=44,"35-44",A1215&lt;=54,"45-54",TRUE,"OVER 55")</f>
        <v>UNDER 25</v>
      </c>
    </row>
    <row r="1216" spans="1:37"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f t="shared" si="18"/>
        <v>0</v>
      </c>
      <c r="AK1216" t="str" cm="1">
        <f t="array" ref="AK1216">_xlfn.IFS(A1216&lt;25,"UNDER 25",A1216&lt;=34,"25-34",A1216&lt;=44,"35-44",A1216&lt;=54,"45-54",TRUE,"OVER 55")</f>
        <v>35-44</v>
      </c>
    </row>
    <row r="1217" spans="1:37"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f t="shared" si="18"/>
        <v>0</v>
      </c>
      <c r="AK1217" t="str" cm="1">
        <f t="array" ref="AK1217">_xlfn.IFS(A1217&lt;25,"UNDER 25",A1217&lt;=34,"25-34",A1217&lt;=44,"35-44",A1217&lt;=54,"45-54",TRUE,"OVER 55")</f>
        <v>35-44</v>
      </c>
    </row>
    <row r="1218" spans="1:37"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f t="shared" si="18"/>
        <v>0</v>
      </c>
      <c r="AK1218" t="str" cm="1">
        <f t="array" ref="AK1218">_xlfn.IFS(A1218&lt;25,"UNDER 25",A1218&lt;=34,"25-34",A1218&lt;=44,"35-44",A1218&lt;=54,"45-54",TRUE,"OVER 55")</f>
        <v>35-44</v>
      </c>
    </row>
    <row r="1219" spans="1:37"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f t="shared" ref="AJ1219:AJ1282" si="19">IF(B1219="yes",1,0)</f>
        <v>0</v>
      </c>
      <c r="AK1219" t="str" cm="1">
        <f t="array" ref="AK1219">_xlfn.IFS(A1219&lt;25,"UNDER 25",A1219&lt;=34,"25-34",A1219&lt;=44,"35-44",A1219&lt;=54,"45-54",TRUE,"OVER 55")</f>
        <v>UNDER 25</v>
      </c>
    </row>
    <row r="1220" spans="1:37"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f t="shared" si="19"/>
        <v>0</v>
      </c>
      <c r="AK1220" t="str" cm="1">
        <f t="array" ref="AK1220">_xlfn.IFS(A1220&lt;25,"UNDER 25",A1220&lt;=34,"25-34",A1220&lt;=44,"35-44",A1220&lt;=54,"45-54",TRUE,"OVER 55")</f>
        <v>35-44</v>
      </c>
    </row>
    <row r="1221" spans="1:37"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f t="shared" si="19"/>
        <v>0</v>
      </c>
      <c r="AK1221" t="str" cm="1">
        <f t="array" ref="AK1221">_xlfn.IFS(A1221&lt;25,"UNDER 25",A1221&lt;=34,"25-34",A1221&lt;=44,"35-44",A1221&lt;=54,"45-54",TRUE,"OVER 55")</f>
        <v>25-34</v>
      </c>
    </row>
    <row r="1222" spans="1:37"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f t="shared" si="19"/>
        <v>0</v>
      </c>
      <c r="AK1222" t="str" cm="1">
        <f t="array" ref="AK1222">_xlfn.IFS(A1222&lt;25,"UNDER 25",A1222&lt;=34,"25-34",A1222&lt;=44,"35-44",A1222&lt;=54,"45-54",TRUE,"OVER 55")</f>
        <v>35-44</v>
      </c>
    </row>
    <row r="1223" spans="1:37"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f t="shared" si="19"/>
        <v>0</v>
      </c>
      <c r="AK1223" t="str" cm="1">
        <f t="array" ref="AK1223">_xlfn.IFS(A1223&lt;25,"UNDER 25",A1223&lt;=34,"25-34",A1223&lt;=44,"35-44",A1223&lt;=54,"45-54",TRUE,"OVER 55")</f>
        <v>45-54</v>
      </c>
    </row>
    <row r="1224" spans="1:37"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f t="shared" si="19"/>
        <v>1</v>
      </c>
      <c r="AK1224" t="str" cm="1">
        <f t="array" ref="AK1224">_xlfn.IFS(A1224&lt;25,"UNDER 25",A1224&lt;=34,"25-34",A1224&lt;=44,"35-44",A1224&lt;=54,"45-54",TRUE,"OVER 55")</f>
        <v>UNDER 25</v>
      </c>
    </row>
    <row r="1225" spans="1:37"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f t="shared" si="19"/>
        <v>1</v>
      </c>
      <c r="AK1225" t="str" cm="1">
        <f t="array" ref="AK1225">_xlfn.IFS(A1225&lt;25,"UNDER 25",A1225&lt;=34,"25-34",A1225&lt;=44,"35-44",A1225&lt;=54,"45-54",TRUE,"OVER 55")</f>
        <v>45-54</v>
      </c>
    </row>
    <row r="1226" spans="1:37"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f t="shared" si="19"/>
        <v>0</v>
      </c>
      <c r="AK1226" t="str" cm="1">
        <f t="array" ref="AK1226">_xlfn.IFS(A1226&lt;25,"UNDER 25",A1226&lt;=34,"25-34",A1226&lt;=44,"35-44",A1226&lt;=54,"45-54",TRUE,"OVER 55")</f>
        <v>25-34</v>
      </c>
    </row>
    <row r="1227" spans="1:37"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f t="shared" si="19"/>
        <v>0</v>
      </c>
      <c r="AK1227" t="str" cm="1">
        <f t="array" ref="AK1227">_xlfn.IFS(A1227&lt;25,"UNDER 25",A1227&lt;=34,"25-34",A1227&lt;=44,"35-44",A1227&lt;=54,"45-54",TRUE,"OVER 55")</f>
        <v>45-54</v>
      </c>
    </row>
    <row r="1228" spans="1:37"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f t="shared" si="19"/>
        <v>0</v>
      </c>
      <c r="AK1228" t="str" cm="1">
        <f t="array" ref="AK1228">_xlfn.IFS(A1228&lt;25,"UNDER 25",A1228&lt;=34,"25-34",A1228&lt;=44,"35-44",A1228&lt;=54,"45-54",TRUE,"OVER 55")</f>
        <v>25-34</v>
      </c>
    </row>
    <row r="1229" spans="1:37"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f t="shared" si="19"/>
        <v>0</v>
      </c>
      <c r="AK1229" t="str" cm="1">
        <f t="array" ref="AK1229">_xlfn.IFS(A1229&lt;25,"UNDER 25",A1229&lt;=34,"25-34",A1229&lt;=44,"35-44",A1229&lt;=54,"45-54",TRUE,"OVER 55")</f>
        <v>25-34</v>
      </c>
    </row>
    <row r="1230" spans="1:37"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f t="shared" si="19"/>
        <v>0</v>
      </c>
      <c r="AK1230" t="str" cm="1">
        <f t="array" ref="AK1230">_xlfn.IFS(A1230&lt;25,"UNDER 25",A1230&lt;=34,"25-34",A1230&lt;=44,"35-44",A1230&lt;=54,"45-54",TRUE,"OVER 55")</f>
        <v>35-44</v>
      </c>
    </row>
    <row r="1231" spans="1:37"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f t="shared" si="19"/>
        <v>0</v>
      </c>
      <c r="AK1231" t="str" cm="1">
        <f t="array" ref="AK1231">_xlfn.IFS(A1231&lt;25,"UNDER 25",A1231&lt;=34,"25-34",A1231&lt;=44,"35-44",A1231&lt;=54,"45-54",TRUE,"OVER 55")</f>
        <v>35-44</v>
      </c>
    </row>
    <row r="1232" spans="1:37"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f t="shared" si="19"/>
        <v>0</v>
      </c>
      <c r="AK1232" t="str" cm="1">
        <f t="array" ref="AK1232">_xlfn.IFS(A1232&lt;25,"UNDER 25",A1232&lt;=34,"25-34",A1232&lt;=44,"35-44",A1232&lt;=54,"45-54",TRUE,"OVER 55")</f>
        <v>UNDER 25</v>
      </c>
    </row>
    <row r="1233" spans="1:37"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f t="shared" si="19"/>
        <v>0</v>
      </c>
      <c r="AK1233" t="str" cm="1">
        <f t="array" ref="AK1233">_xlfn.IFS(A1233&lt;25,"UNDER 25",A1233&lt;=34,"25-34",A1233&lt;=44,"35-44",A1233&lt;=54,"45-54",TRUE,"OVER 55")</f>
        <v>45-54</v>
      </c>
    </row>
    <row r="1234" spans="1:37"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f t="shared" si="19"/>
        <v>0</v>
      </c>
      <c r="AK1234" t="str" cm="1">
        <f t="array" ref="AK1234">_xlfn.IFS(A1234&lt;25,"UNDER 25",A1234&lt;=34,"25-34",A1234&lt;=44,"35-44",A1234&lt;=54,"45-54",TRUE,"OVER 55")</f>
        <v>35-44</v>
      </c>
    </row>
    <row r="1235" spans="1:37"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f t="shared" si="19"/>
        <v>0</v>
      </c>
      <c r="AK1235" t="str" cm="1">
        <f t="array" ref="AK1235">_xlfn.IFS(A1235&lt;25,"UNDER 25",A1235&lt;=34,"25-34",A1235&lt;=44,"35-44",A1235&lt;=54,"45-54",TRUE,"OVER 55")</f>
        <v>25-34</v>
      </c>
    </row>
    <row r="1236" spans="1:37"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f t="shared" si="19"/>
        <v>0</v>
      </c>
      <c r="AK1236" t="str" cm="1">
        <f t="array" ref="AK1236">_xlfn.IFS(A1236&lt;25,"UNDER 25",A1236&lt;=34,"25-34",A1236&lt;=44,"35-44",A1236&lt;=54,"45-54",TRUE,"OVER 55")</f>
        <v>45-54</v>
      </c>
    </row>
    <row r="1237" spans="1:37"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f t="shared" si="19"/>
        <v>0</v>
      </c>
      <c r="AK1237" t="str" cm="1">
        <f t="array" ref="AK1237">_xlfn.IFS(A1237&lt;25,"UNDER 25",A1237&lt;=34,"25-34",A1237&lt;=44,"35-44",A1237&lt;=54,"45-54",TRUE,"OVER 55")</f>
        <v>45-54</v>
      </c>
    </row>
    <row r="1238" spans="1:37"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f t="shared" si="19"/>
        <v>1</v>
      </c>
      <c r="AK1238" t="str" cm="1">
        <f t="array" ref="AK1238">_xlfn.IFS(A1238&lt;25,"UNDER 25",A1238&lt;=34,"25-34",A1238&lt;=44,"35-44",A1238&lt;=54,"45-54",TRUE,"OVER 55")</f>
        <v>35-44</v>
      </c>
    </row>
    <row r="1239" spans="1:37"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f t="shared" si="19"/>
        <v>1</v>
      </c>
      <c r="AK1239" t="str" cm="1">
        <f t="array" ref="AK1239">_xlfn.IFS(A1239&lt;25,"UNDER 25",A1239&lt;=34,"25-34",A1239&lt;=44,"35-44",A1239&lt;=54,"45-54",TRUE,"OVER 55")</f>
        <v>25-34</v>
      </c>
    </row>
    <row r="1240" spans="1:37"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f t="shared" si="19"/>
        <v>0</v>
      </c>
      <c r="AK1240" t="str" cm="1">
        <f t="array" ref="AK1240">_xlfn.IFS(A1240&lt;25,"UNDER 25",A1240&lt;=34,"25-34",A1240&lt;=44,"35-44",A1240&lt;=54,"45-54",TRUE,"OVER 55")</f>
        <v>UNDER 25</v>
      </c>
    </row>
    <row r="1241" spans="1:37"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f t="shared" si="19"/>
        <v>0</v>
      </c>
      <c r="AK1241" t="str" cm="1">
        <f t="array" ref="AK1241">_xlfn.IFS(A1241&lt;25,"UNDER 25",A1241&lt;=34,"25-34",A1241&lt;=44,"35-44",A1241&lt;=54,"45-54",TRUE,"OVER 55")</f>
        <v>25-34</v>
      </c>
    </row>
    <row r="1242" spans="1:37"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f t="shared" si="19"/>
        <v>0</v>
      </c>
      <c r="AK1242" t="str" cm="1">
        <f t="array" ref="AK1242">_xlfn.IFS(A1242&lt;25,"UNDER 25",A1242&lt;=34,"25-34",A1242&lt;=44,"35-44",A1242&lt;=54,"45-54",TRUE,"OVER 55")</f>
        <v>35-44</v>
      </c>
    </row>
    <row r="1243" spans="1:37"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f t="shared" si="19"/>
        <v>0</v>
      </c>
      <c r="AK1243" t="str" cm="1">
        <f t="array" ref="AK1243">_xlfn.IFS(A1243&lt;25,"UNDER 25",A1243&lt;=34,"25-34",A1243&lt;=44,"35-44",A1243&lt;=54,"45-54",TRUE,"OVER 55")</f>
        <v>25-34</v>
      </c>
    </row>
    <row r="1244" spans="1:37"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f t="shared" si="19"/>
        <v>0</v>
      </c>
      <c r="AK1244" t="str" cm="1">
        <f t="array" ref="AK1244">_xlfn.IFS(A1244&lt;25,"UNDER 25",A1244&lt;=34,"25-34",A1244&lt;=44,"35-44",A1244&lt;=54,"45-54",TRUE,"OVER 55")</f>
        <v>35-44</v>
      </c>
    </row>
    <row r="1245" spans="1:37"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f t="shared" si="19"/>
        <v>0</v>
      </c>
      <c r="AK1245" t="str" cm="1">
        <f t="array" ref="AK1245">_xlfn.IFS(A1245&lt;25,"UNDER 25",A1245&lt;=34,"25-34",A1245&lt;=44,"35-44",A1245&lt;=54,"45-54",TRUE,"OVER 55")</f>
        <v>45-54</v>
      </c>
    </row>
    <row r="1246" spans="1:37"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f t="shared" si="19"/>
        <v>0</v>
      </c>
      <c r="AK1246" t="str" cm="1">
        <f t="array" ref="AK1246">_xlfn.IFS(A1246&lt;25,"UNDER 25",A1246&lt;=34,"25-34",A1246&lt;=44,"35-44",A1246&lt;=54,"45-54",TRUE,"OVER 55")</f>
        <v>25-34</v>
      </c>
    </row>
    <row r="1247" spans="1:37"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f t="shared" si="19"/>
        <v>0</v>
      </c>
      <c r="AK1247" t="str" cm="1">
        <f t="array" ref="AK1247">_xlfn.IFS(A1247&lt;25,"UNDER 25",A1247&lt;=34,"25-34",A1247&lt;=44,"35-44",A1247&lt;=54,"45-54",TRUE,"OVER 55")</f>
        <v>UNDER 25</v>
      </c>
    </row>
    <row r="1248" spans="1:37"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f t="shared" si="19"/>
        <v>1</v>
      </c>
      <c r="AK1248" t="str" cm="1">
        <f t="array" ref="AK1248">_xlfn.IFS(A1248&lt;25,"UNDER 25",A1248&lt;=34,"25-34",A1248&lt;=44,"35-44",A1248&lt;=54,"45-54",TRUE,"OVER 55")</f>
        <v>25-34</v>
      </c>
    </row>
    <row r="1249" spans="1:37"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f t="shared" si="19"/>
        <v>0</v>
      </c>
      <c r="AK1249" t="str" cm="1">
        <f t="array" ref="AK1249">_xlfn.IFS(A1249&lt;25,"UNDER 25",A1249&lt;=34,"25-34",A1249&lt;=44,"35-44",A1249&lt;=54,"45-54",TRUE,"OVER 55")</f>
        <v>25-34</v>
      </c>
    </row>
    <row r="1250" spans="1:37"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f t="shared" si="19"/>
        <v>0</v>
      </c>
      <c r="AK1250" t="str" cm="1">
        <f t="array" ref="AK1250">_xlfn.IFS(A1250&lt;25,"UNDER 25",A1250&lt;=34,"25-34",A1250&lt;=44,"35-44",A1250&lt;=54,"45-54",TRUE,"OVER 55")</f>
        <v>25-34</v>
      </c>
    </row>
    <row r="1251" spans="1:37"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f t="shared" si="19"/>
        <v>1</v>
      </c>
      <c r="AK1251" t="str" cm="1">
        <f t="array" ref="AK1251">_xlfn.IFS(A1251&lt;25,"UNDER 25",A1251&lt;=34,"25-34",A1251&lt;=44,"35-44",A1251&lt;=54,"45-54",TRUE,"OVER 55")</f>
        <v>25-34</v>
      </c>
    </row>
    <row r="1252" spans="1:37"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f t="shared" si="19"/>
        <v>0</v>
      </c>
      <c r="AK1252" t="str" cm="1">
        <f t="array" ref="AK1252">_xlfn.IFS(A1252&lt;25,"UNDER 25",A1252&lt;=34,"25-34",A1252&lt;=44,"35-44",A1252&lt;=54,"45-54",TRUE,"OVER 55")</f>
        <v>25-34</v>
      </c>
    </row>
    <row r="1253" spans="1:37"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f t="shared" si="19"/>
        <v>0</v>
      </c>
      <c r="AK1253" t="str" cm="1">
        <f t="array" ref="AK1253">_xlfn.IFS(A1253&lt;25,"UNDER 25",A1253&lt;=34,"25-34",A1253&lt;=44,"35-44",A1253&lt;=54,"45-54",TRUE,"OVER 55")</f>
        <v>25-34</v>
      </c>
    </row>
    <row r="1254" spans="1:37"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f t="shared" si="19"/>
        <v>0</v>
      </c>
      <c r="AK1254" t="str" cm="1">
        <f t="array" ref="AK1254">_xlfn.IFS(A1254&lt;25,"UNDER 25",A1254&lt;=34,"25-34",A1254&lt;=44,"35-44",A1254&lt;=54,"45-54",TRUE,"OVER 55")</f>
        <v>25-34</v>
      </c>
    </row>
    <row r="1255" spans="1:37"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f t="shared" si="19"/>
        <v>0</v>
      </c>
      <c r="AK1255" t="str" cm="1">
        <f t="array" ref="AK1255">_xlfn.IFS(A1255&lt;25,"UNDER 25",A1255&lt;=34,"25-34",A1255&lt;=44,"35-44",A1255&lt;=54,"45-54",TRUE,"OVER 55")</f>
        <v>25-34</v>
      </c>
    </row>
    <row r="1256" spans="1:37"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f t="shared" si="19"/>
        <v>0</v>
      </c>
      <c r="AK1256" t="str" cm="1">
        <f t="array" ref="AK1256">_xlfn.IFS(A1256&lt;25,"UNDER 25",A1256&lt;=34,"25-34",A1256&lt;=44,"35-44",A1256&lt;=54,"45-54",TRUE,"OVER 55")</f>
        <v>45-54</v>
      </c>
    </row>
    <row r="1257" spans="1:37"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f t="shared" si="19"/>
        <v>1</v>
      </c>
      <c r="AK1257" t="str" cm="1">
        <f t="array" ref="AK1257">_xlfn.IFS(A1257&lt;25,"UNDER 25",A1257&lt;=34,"25-34",A1257&lt;=44,"35-44",A1257&lt;=54,"45-54",TRUE,"OVER 55")</f>
        <v>25-34</v>
      </c>
    </row>
    <row r="1258" spans="1:37"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f t="shared" si="19"/>
        <v>0</v>
      </c>
      <c r="AK1258" t="str" cm="1">
        <f t="array" ref="AK1258">_xlfn.IFS(A1258&lt;25,"UNDER 25",A1258&lt;=34,"25-34",A1258&lt;=44,"35-44",A1258&lt;=54,"45-54",TRUE,"OVER 55")</f>
        <v>35-44</v>
      </c>
    </row>
    <row r="1259" spans="1:37"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f t="shared" si="19"/>
        <v>1</v>
      </c>
      <c r="AK1259" t="str" cm="1">
        <f t="array" ref="AK1259">_xlfn.IFS(A1259&lt;25,"UNDER 25",A1259&lt;=34,"25-34",A1259&lt;=44,"35-44",A1259&lt;=54,"45-54",TRUE,"OVER 55")</f>
        <v>25-34</v>
      </c>
    </row>
    <row r="1260" spans="1:37"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f t="shared" si="19"/>
        <v>0</v>
      </c>
      <c r="AK1260" t="str" cm="1">
        <f t="array" ref="AK1260">_xlfn.IFS(A1260&lt;25,"UNDER 25",A1260&lt;=34,"25-34",A1260&lt;=44,"35-44",A1260&lt;=54,"45-54",TRUE,"OVER 55")</f>
        <v>25-34</v>
      </c>
    </row>
    <row r="1261" spans="1:37"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f t="shared" si="19"/>
        <v>0</v>
      </c>
      <c r="AK1261" t="str" cm="1">
        <f t="array" ref="AK1261">_xlfn.IFS(A1261&lt;25,"UNDER 25",A1261&lt;=34,"25-34",A1261&lt;=44,"35-44",A1261&lt;=54,"45-54",TRUE,"OVER 55")</f>
        <v>25-34</v>
      </c>
    </row>
    <row r="1262" spans="1:37"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f t="shared" si="19"/>
        <v>0</v>
      </c>
      <c r="AK1262" t="str" cm="1">
        <f t="array" ref="AK1262">_xlfn.IFS(A1262&lt;25,"UNDER 25",A1262&lt;=34,"25-34",A1262&lt;=44,"35-44",A1262&lt;=54,"45-54",TRUE,"OVER 55")</f>
        <v>25-34</v>
      </c>
    </row>
    <row r="1263" spans="1:37"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f t="shared" si="19"/>
        <v>0</v>
      </c>
      <c r="AK1263" t="str" cm="1">
        <f t="array" ref="AK1263">_xlfn.IFS(A1263&lt;25,"UNDER 25",A1263&lt;=34,"25-34",A1263&lt;=44,"35-44",A1263&lt;=54,"45-54",TRUE,"OVER 55")</f>
        <v>35-44</v>
      </c>
    </row>
    <row r="1264" spans="1:37"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f t="shared" si="19"/>
        <v>1</v>
      </c>
      <c r="AK1264" t="str" cm="1">
        <f t="array" ref="AK1264">_xlfn.IFS(A1264&lt;25,"UNDER 25",A1264&lt;=34,"25-34",A1264&lt;=44,"35-44",A1264&lt;=54,"45-54",TRUE,"OVER 55")</f>
        <v>35-44</v>
      </c>
    </row>
    <row r="1265" spans="1:37"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f t="shared" si="19"/>
        <v>0</v>
      </c>
      <c r="AK1265" t="str" cm="1">
        <f t="array" ref="AK1265">_xlfn.IFS(A1265&lt;25,"UNDER 25",A1265&lt;=34,"25-34",A1265&lt;=44,"35-44",A1265&lt;=54,"45-54",TRUE,"OVER 55")</f>
        <v>35-44</v>
      </c>
    </row>
    <row r="1266" spans="1:37"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f t="shared" si="19"/>
        <v>0</v>
      </c>
      <c r="AK1266" t="str" cm="1">
        <f t="array" ref="AK1266">_xlfn.IFS(A1266&lt;25,"UNDER 25",A1266&lt;=34,"25-34",A1266&lt;=44,"35-44",A1266&lt;=54,"45-54",TRUE,"OVER 55")</f>
        <v>OVER 55</v>
      </c>
    </row>
    <row r="1267" spans="1:37"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f t="shared" si="19"/>
        <v>0</v>
      </c>
      <c r="AK1267" t="str" cm="1">
        <f t="array" ref="AK1267">_xlfn.IFS(A1267&lt;25,"UNDER 25",A1267&lt;=34,"25-34",A1267&lt;=44,"35-44",A1267&lt;=54,"45-54",TRUE,"OVER 55")</f>
        <v>25-34</v>
      </c>
    </row>
    <row r="1268" spans="1:37"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f t="shared" si="19"/>
        <v>0</v>
      </c>
      <c r="AK1268" t="str" cm="1">
        <f t="array" ref="AK1268">_xlfn.IFS(A1268&lt;25,"UNDER 25",A1268&lt;=34,"25-34",A1268&lt;=44,"35-44",A1268&lt;=54,"45-54",TRUE,"OVER 55")</f>
        <v>35-44</v>
      </c>
    </row>
    <row r="1269" spans="1:37"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f t="shared" si="19"/>
        <v>0</v>
      </c>
      <c r="AK1269" t="str" cm="1">
        <f t="array" ref="AK1269">_xlfn.IFS(A1269&lt;25,"UNDER 25",A1269&lt;=34,"25-34",A1269&lt;=44,"35-44",A1269&lt;=54,"45-54",TRUE,"OVER 55")</f>
        <v>25-34</v>
      </c>
    </row>
    <row r="1270" spans="1:37"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f t="shared" si="19"/>
        <v>0</v>
      </c>
      <c r="AK1270" t="str" cm="1">
        <f t="array" ref="AK1270">_xlfn.IFS(A1270&lt;25,"UNDER 25",A1270&lt;=34,"25-34",A1270&lt;=44,"35-44",A1270&lt;=54,"45-54",TRUE,"OVER 55")</f>
        <v>45-54</v>
      </c>
    </row>
    <row r="1271" spans="1:37"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f t="shared" si="19"/>
        <v>0</v>
      </c>
      <c r="AK1271" t="str" cm="1">
        <f t="array" ref="AK1271">_xlfn.IFS(A1271&lt;25,"UNDER 25",A1271&lt;=34,"25-34",A1271&lt;=44,"35-44",A1271&lt;=54,"45-54",TRUE,"OVER 55")</f>
        <v>35-44</v>
      </c>
    </row>
    <row r="1272" spans="1:37"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f t="shared" si="19"/>
        <v>0</v>
      </c>
      <c r="AK1272" t="str" cm="1">
        <f t="array" ref="AK1272">_xlfn.IFS(A1272&lt;25,"UNDER 25",A1272&lt;=34,"25-34",A1272&lt;=44,"35-44",A1272&lt;=54,"45-54",TRUE,"OVER 55")</f>
        <v>25-34</v>
      </c>
    </row>
    <row r="1273" spans="1:37"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f t="shared" si="19"/>
        <v>1</v>
      </c>
      <c r="AK1273" t="str" cm="1">
        <f t="array" ref="AK1273">_xlfn.IFS(A1273&lt;25,"UNDER 25",A1273&lt;=34,"25-34",A1273&lt;=44,"35-44",A1273&lt;=54,"45-54",TRUE,"OVER 55")</f>
        <v>UNDER 25</v>
      </c>
    </row>
    <row r="1274" spans="1:37"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f t="shared" si="19"/>
        <v>0</v>
      </c>
      <c r="AK1274" t="str" cm="1">
        <f t="array" ref="AK1274">_xlfn.IFS(A1274&lt;25,"UNDER 25",A1274&lt;=34,"25-34",A1274&lt;=44,"35-44",A1274&lt;=54,"45-54",TRUE,"OVER 55")</f>
        <v>35-44</v>
      </c>
    </row>
    <row r="1275" spans="1:37"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f t="shared" si="19"/>
        <v>1</v>
      </c>
      <c r="AK1275" t="str" cm="1">
        <f t="array" ref="AK1275">_xlfn.IFS(A1275&lt;25,"UNDER 25",A1275&lt;=34,"25-34",A1275&lt;=44,"35-44",A1275&lt;=54,"45-54",TRUE,"OVER 55")</f>
        <v>UNDER 25</v>
      </c>
    </row>
    <row r="1276" spans="1:37"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f t="shared" si="19"/>
        <v>0</v>
      </c>
      <c r="AK1276" t="str" cm="1">
        <f t="array" ref="AK1276">_xlfn.IFS(A1276&lt;25,"UNDER 25",A1276&lt;=34,"25-34",A1276&lt;=44,"35-44",A1276&lt;=54,"45-54",TRUE,"OVER 55")</f>
        <v>25-34</v>
      </c>
    </row>
    <row r="1277" spans="1:37"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f t="shared" si="19"/>
        <v>0</v>
      </c>
      <c r="AK1277" t="str" cm="1">
        <f t="array" ref="AK1277">_xlfn.IFS(A1277&lt;25,"UNDER 25",A1277&lt;=34,"25-34",A1277&lt;=44,"35-44",A1277&lt;=54,"45-54",TRUE,"OVER 55")</f>
        <v>45-54</v>
      </c>
    </row>
    <row r="1278" spans="1:37"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f t="shared" si="19"/>
        <v>0</v>
      </c>
      <c r="AK1278" t="str" cm="1">
        <f t="array" ref="AK1278">_xlfn.IFS(A1278&lt;25,"UNDER 25",A1278&lt;=34,"25-34",A1278&lt;=44,"35-44",A1278&lt;=54,"45-54",TRUE,"OVER 55")</f>
        <v>35-44</v>
      </c>
    </row>
    <row r="1279" spans="1:37"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f t="shared" si="19"/>
        <v>0</v>
      </c>
      <c r="AK1279" t="str" cm="1">
        <f t="array" ref="AK1279">_xlfn.IFS(A1279&lt;25,"UNDER 25",A1279&lt;=34,"25-34",A1279&lt;=44,"35-44",A1279&lt;=54,"45-54",TRUE,"OVER 55")</f>
        <v>45-54</v>
      </c>
    </row>
    <row r="1280" spans="1:37"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f t="shared" si="19"/>
        <v>0</v>
      </c>
      <c r="AK1280" t="str" cm="1">
        <f t="array" ref="AK1280">_xlfn.IFS(A1280&lt;25,"UNDER 25",A1280&lt;=34,"25-34",A1280&lt;=44,"35-44",A1280&lt;=54,"45-54",TRUE,"OVER 55")</f>
        <v>35-44</v>
      </c>
    </row>
    <row r="1281" spans="1:37"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f t="shared" si="19"/>
        <v>1</v>
      </c>
      <c r="AK1281" t="str" cm="1">
        <f t="array" ref="AK1281">_xlfn.IFS(A1281&lt;25,"UNDER 25",A1281&lt;=34,"25-34",A1281&lt;=44,"35-44",A1281&lt;=54,"45-54",TRUE,"OVER 55")</f>
        <v>35-44</v>
      </c>
    </row>
    <row r="1282" spans="1:37"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f t="shared" si="19"/>
        <v>0</v>
      </c>
      <c r="AK1282" t="str" cm="1">
        <f t="array" ref="AK1282">_xlfn.IFS(A1282&lt;25,"UNDER 25",A1282&lt;=34,"25-34",A1282&lt;=44,"35-44",A1282&lt;=54,"45-54",TRUE,"OVER 55")</f>
        <v>35-44</v>
      </c>
    </row>
    <row r="1283" spans="1:37"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f t="shared" ref="AJ1283:AJ1346" si="20">IF(B1283="yes",1,0)</f>
        <v>1</v>
      </c>
      <c r="AK1283" t="str" cm="1">
        <f t="array" ref="AK1283">_xlfn.IFS(A1283&lt;25,"UNDER 25",A1283&lt;=34,"25-34",A1283&lt;=44,"35-44",A1283&lt;=54,"45-54",TRUE,"OVER 55")</f>
        <v>35-44</v>
      </c>
    </row>
    <row r="1284" spans="1:37"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f t="shared" si="20"/>
        <v>0</v>
      </c>
      <c r="AK1284" t="str" cm="1">
        <f t="array" ref="AK1284">_xlfn.IFS(A1284&lt;25,"UNDER 25",A1284&lt;=34,"25-34",A1284&lt;=44,"35-44",A1284&lt;=54,"45-54",TRUE,"OVER 55")</f>
        <v>25-34</v>
      </c>
    </row>
    <row r="1285" spans="1:37"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f t="shared" si="20"/>
        <v>0</v>
      </c>
      <c r="AK1285" t="str" cm="1">
        <f t="array" ref="AK1285">_xlfn.IFS(A1285&lt;25,"UNDER 25",A1285&lt;=34,"25-34",A1285&lt;=44,"35-44",A1285&lt;=54,"45-54",TRUE,"OVER 55")</f>
        <v>25-34</v>
      </c>
    </row>
    <row r="1286" spans="1:37"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f t="shared" si="20"/>
        <v>0</v>
      </c>
      <c r="AK1286" t="str" cm="1">
        <f t="array" ref="AK1286">_xlfn.IFS(A1286&lt;25,"UNDER 25",A1286&lt;=34,"25-34",A1286&lt;=44,"35-44",A1286&lt;=54,"45-54",TRUE,"OVER 55")</f>
        <v>35-44</v>
      </c>
    </row>
    <row r="1287" spans="1:37"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f t="shared" si="20"/>
        <v>0</v>
      </c>
      <c r="AK1287" t="str" cm="1">
        <f t="array" ref="AK1287">_xlfn.IFS(A1287&lt;25,"UNDER 25",A1287&lt;=34,"25-34",A1287&lt;=44,"35-44",A1287&lt;=54,"45-54",TRUE,"OVER 55")</f>
        <v>45-54</v>
      </c>
    </row>
    <row r="1288" spans="1:37"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f t="shared" si="20"/>
        <v>0</v>
      </c>
      <c r="AK1288" t="str" cm="1">
        <f t="array" ref="AK1288">_xlfn.IFS(A1288&lt;25,"UNDER 25",A1288&lt;=34,"25-34",A1288&lt;=44,"35-44",A1288&lt;=54,"45-54",TRUE,"OVER 55")</f>
        <v>35-44</v>
      </c>
    </row>
    <row r="1289" spans="1:37"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f t="shared" si="20"/>
        <v>0</v>
      </c>
      <c r="AK1289" t="str" cm="1">
        <f t="array" ref="AK1289">_xlfn.IFS(A1289&lt;25,"UNDER 25",A1289&lt;=34,"25-34",A1289&lt;=44,"35-44",A1289&lt;=54,"45-54",TRUE,"OVER 55")</f>
        <v>35-44</v>
      </c>
    </row>
    <row r="1290" spans="1:37"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f t="shared" si="20"/>
        <v>0</v>
      </c>
      <c r="AK1290" t="str" cm="1">
        <f t="array" ref="AK1290">_xlfn.IFS(A1290&lt;25,"UNDER 25",A1290&lt;=34,"25-34",A1290&lt;=44,"35-44",A1290&lt;=54,"45-54",TRUE,"OVER 55")</f>
        <v>35-44</v>
      </c>
    </row>
    <row r="1291" spans="1:37"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f t="shared" si="20"/>
        <v>0</v>
      </c>
      <c r="AK1291" t="str" cm="1">
        <f t="array" ref="AK1291">_xlfn.IFS(A1291&lt;25,"UNDER 25",A1291&lt;=34,"25-34",A1291&lt;=44,"35-44",A1291&lt;=54,"45-54",TRUE,"OVER 55")</f>
        <v>35-44</v>
      </c>
    </row>
    <row r="1292" spans="1:37"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f t="shared" si="20"/>
        <v>1</v>
      </c>
      <c r="AK1292" t="str" cm="1">
        <f t="array" ref="AK1292">_xlfn.IFS(A1292&lt;25,"UNDER 25",A1292&lt;=34,"25-34",A1292&lt;=44,"35-44",A1292&lt;=54,"45-54",TRUE,"OVER 55")</f>
        <v>25-34</v>
      </c>
    </row>
    <row r="1293" spans="1:37"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f t="shared" si="20"/>
        <v>1</v>
      </c>
      <c r="AK1293" t="str" cm="1">
        <f t="array" ref="AK1293">_xlfn.IFS(A1293&lt;25,"UNDER 25",A1293&lt;=34,"25-34",A1293&lt;=44,"35-44",A1293&lt;=54,"45-54",TRUE,"OVER 55")</f>
        <v>35-44</v>
      </c>
    </row>
    <row r="1294" spans="1:37"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f t="shared" si="20"/>
        <v>0</v>
      </c>
      <c r="AK1294" t="str" cm="1">
        <f t="array" ref="AK1294">_xlfn.IFS(A1294&lt;25,"UNDER 25",A1294&lt;=34,"25-34",A1294&lt;=44,"35-44",A1294&lt;=54,"45-54",TRUE,"OVER 55")</f>
        <v>35-44</v>
      </c>
    </row>
    <row r="1295" spans="1:37"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f t="shared" si="20"/>
        <v>0</v>
      </c>
      <c r="AK1295" t="str" cm="1">
        <f t="array" ref="AK1295">_xlfn.IFS(A1295&lt;25,"UNDER 25",A1295&lt;=34,"25-34",A1295&lt;=44,"35-44",A1295&lt;=54,"45-54",TRUE,"OVER 55")</f>
        <v>35-44</v>
      </c>
    </row>
    <row r="1296" spans="1:37"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f t="shared" si="20"/>
        <v>0</v>
      </c>
      <c r="AK1296" t="str" cm="1">
        <f t="array" ref="AK1296">_xlfn.IFS(A1296&lt;25,"UNDER 25",A1296&lt;=34,"25-34",A1296&lt;=44,"35-44",A1296&lt;=54,"45-54",TRUE,"OVER 55")</f>
        <v>35-44</v>
      </c>
    </row>
    <row r="1297" spans="1:37"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f t="shared" si="20"/>
        <v>0</v>
      </c>
      <c r="AK1297" t="str" cm="1">
        <f t="array" ref="AK1297">_xlfn.IFS(A1297&lt;25,"UNDER 25",A1297&lt;=34,"25-34",A1297&lt;=44,"35-44",A1297&lt;=54,"45-54",TRUE,"OVER 55")</f>
        <v>35-44</v>
      </c>
    </row>
    <row r="1298" spans="1:37"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f t="shared" si="20"/>
        <v>0</v>
      </c>
      <c r="AK1298" t="str" cm="1">
        <f t="array" ref="AK1298">_xlfn.IFS(A1298&lt;25,"UNDER 25",A1298&lt;=34,"25-34",A1298&lt;=44,"35-44",A1298&lt;=54,"45-54",TRUE,"OVER 55")</f>
        <v>25-34</v>
      </c>
    </row>
    <row r="1299" spans="1:37"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f t="shared" si="20"/>
        <v>1</v>
      </c>
      <c r="AK1299" t="str" cm="1">
        <f t="array" ref="AK1299">_xlfn.IFS(A1299&lt;25,"UNDER 25",A1299&lt;=34,"25-34",A1299&lt;=44,"35-44",A1299&lt;=54,"45-54",TRUE,"OVER 55")</f>
        <v>25-34</v>
      </c>
    </row>
    <row r="1300" spans="1:37"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f t="shared" si="20"/>
        <v>1</v>
      </c>
      <c r="AK1300" t="str" cm="1">
        <f t="array" ref="AK1300">_xlfn.IFS(A1300&lt;25,"UNDER 25",A1300&lt;=34,"25-34",A1300&lt;=44,"35-44",A1300&lt;=54,"45-54",TRUE,"OVER 55")</f>
        <v>45-54</v>
      </c>
    </row>
    <row r="1301" spans="1:37"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f t="shared" si="20"/>
        <v>0</v>
      </c>
      <c r="AK1301" t="str" cm="1">
        <f t="array" ref="AK1301">_xlfn.IFS(A1301&lt;25,"UNDER 25",A1301&lt;=34,"25-34",A1301&lt;=44,"35-44",A1301&lt;=54,"45-54",TRUE,"OVER 55")</f>
        <v>35-44</v>
      </c>
    </row>
    <row r="1302" spans="1:37"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f t="shared" si="20"/>
        <v>0</v>
      </c>
      <c r="AK1302" t="str" cm="1">
        <f t="array" ref="AK1302">_xlfn.IFS(A1302&lt;25,"UNDER 25",A1302&lt;=34,"25-34",A1302&lt;=44,"35-44",A1302&lt;=54,"45-54",TRUE,"OVER 55")</f>
        <v>25-34</v>
      </c>
    </row>
    <row r="1303" spans="1:37"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f t="shared" si="20"/>
        <v>0</v>
      </c>
      <c r="AK1303" t="str" cm="1">
        <f t="array" ref="AK1303">_xlfn.IFS(A1303&lt;25,"UNDER 25",A1303&lt;=34,"25-34",A1303&lt;=44,"35-44",A1303&lt;=54,"45-54",TRUE,"OVER 55")</f>
        <v>OVER 55</v>
      </c>
    </row>
    <row r="1304" spans="1:37"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f t="shared" si="20"/>
        <v>0</v>
      </c>
      <c r="AK1304" t="str" cm="1">
        <f t="array" ref="AK1304">_xlfn.IFS(A1304&lt;25,"UNDER 25",A1304&lt;=34,"25-34",A1304&lt;=44,"35-44",A1304&lt;=54,"45-54",TRUE,"OVER 55")</f>
        <v>35-44</v>
      </c>
    </row>
    <row r="1305" spans="1:37"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f t="shared" si="20"/>
        <v>0</v>
      </c>
      <c r="AK1305" t="str" cm="1">
        <f t="array" ref="AK1305">_xlfn.IFS(A1305&lt;25,"UNDER 25",A1305&lt;=34,"25-34",A1305&lt;=44,"35-44",A1305&lt;=54,"45-54",TRUE,"OVER 55")</f>
        <v>45-54</v>
      </c>
    </row>
    <row r="1306" spans="1:37"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f t="shared" si="20"/>
        <v>0</v>
      </c>
      <c r="AK1306" t="str" cm="1">
        <f t="array" ref="AK1306">_xlfn.IFS(A1306&lt;25,"UNDER 25",A1306&lt;=34,"25-34",A1306&lt;=44,"35-44",A1306&lt;=54,"45-54",TRUE,"OVER 55")</f>
        <v>35-44</v>
      </c>
    </row>
    <row r="1307" spans="1:37"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f t="shared" si="20"/>
        <v>0</v>
      </c>
      <c r="AK1307" t="str" cm="1">
        <f t="array" ref="AK1307">_xlfn.IFS(A1307&lt;25,"UNDER 25",A1307&lt;=34,"25-34",A1307&lt;=44,"35-44",A1307&lt;=54,"45-54",TRUE,"OVER 55")</f>
        <v>45-54</v>
      </c>
    </row>
    <row r="1308" spans="1:37"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f t="shared" si="20"/>
        <v>0</v>
      </c>
      <c r="AK1308" t="str" cm="1">
        <f t="array" ref="AK1308">_xlfn.IFS(A1308&lt;25,"UNDER 25",A1308&lt;=34,"25-34",A1308&lt;=44,"35-44",A1308&lt;=54,"45-54",TRUE,"OVER 55")</f>
        <v>25-34</v>
      </c>
    </row>
    <row r="1309" spans="1:37"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f t="shared" si="20"/>
        <v>0</v>
      </c>
      <c r="AK1309" t="str" cm="1">
        <f t="array" ref="AK1309">_xlfn.IFS(A1309&lt;25,"UNDER 25",A1309&lt;=34,"25-34",A1309&lt;=44,"35-44",A1309&lt;=54,"45-54",TRUE,"OVER 55")</f>
        <v>25-34</v>
      </c>
    </row>
    <row r="1310" spans="1:37"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f t="shared" si="20"/>
        <v>0</v>
      </c>
      <c r="AK1310" t="str" cm="1">
        <f t="array" ref="AK1310">_xlfn.IFS(A1310&lt;25,"UNDER 25",A1310&lt;=34,"25-34",A1310&lt;=44,"35-44",A1310&lt;=54,"45-54",TRUE,"OVER 55")</f>
        <v>35-44</v>
      </c>
    </row>
    <row r="1311" spans="1:37"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f t="shared" si="20"/>
        <v>0</v>
      </c>
      <c r="AK1311" t="str" cm="1">
        <f t="array" ref="AK1311">_xlfn.IFS(A1311&lt;25,"UNDER 25",A1311&lt;=34,"25-34",A1311&lt;=44,"35-44",A1311&lt;=54,"45-54",TRUE,"OVER 55")</f>
        <v>25-34</v>
      </c>
    </row>
    <row r="1312" spans="1:37"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f t="shared" si="20"/>
        <v>0</v>
      </c>
      <c r="AK1312" t="str" cm="1">
        <f t="array" ref="AK1312">_xlfn.IFS(A1312&lt;25,"UNDER 25",A1312&lt;=34,"25-34",A1312&lt;=44,"35-44",A1312&lt;=54,"45-54",TRUE,"OVER 55")</f>
        <v>OVER 55</v>
      </c>
    </row>
    <row r="1313" spans="1:37"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f t="shared" si="20"/>
        <v>0</v>
      </c>
      <c r="AK1313" t="str" cm="1">
        <f t="array" ref="AK1313">_xlfn.IFS(A1313&lt;25,"UNDER 25",A1313&lt;=34,"25-34",A1313&lt;=44,"35-44",A1313&lt;=54,"45-54",TRUE,"OVER 55")</f>
        <v>UNDER 25</v>
      </c>
    </row>
    <row r="1314" spans="1:37"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f t="shared" si="20"/>
        <v>1</v>
      </c>
      <c r="AK1314" t="str" cm="1">
        <f t="array" ref="AK1314">_xlfn.IFS(A1314&lt;25,"UNDER 25",A1314&lt;=34,"25-34",A1314&lt;=44,"35-44",A1314&lt;=54,"45-54",TRUE,"OVER 55")</f>
        <v>25-34</v>
      </c>
    </row>
    <row r="1315" spans="1:37"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f t="shared" si="20"/>
        <v>1</v>
      </c>
      <c r="AK1315" t="str" cm="1">
        <f t="array" ref="AK1315">_xlfn.IFS(A1315&lt;25,"UNDER 25",A1315&lt;=34,"25-34",A1315&lt;=44,"35-44",A1315&lt;=54,"45-54",TRUE,"OVER 55")</f>
        <v>25-34</v>
      </c>
    </row>
    <row r="1316" spans="1:37"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f t="shared" si="20"/>
        <v>0</v>
      </c>
      <c r="AK1316" t="str" cm="1">
        <f t="array" ref="AK1316">_xlfn.IFS(A1316&lt;25,"UNDER 25",A1316&lt;=34,"25-34",A1316&lt;=44,"35-44",A1316&lt;=54,"45-54",TRUE,"OVER 55")</f>
        <v>45-54</v>
      </c>
    </row>
    <row r="1317" spans="1:37"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f t="shared" si="20"/>
        <v>0</v>
      </c>
      <c r="AK1317" t="str" cm="1">
        <f t="array" ref="AK1317">_xlfn.IFS(A1317&lt;25,"UNDER 25",A1317&lt;=34,"25-34",A1317&lt;=44,"35-44",A1317&lt;=54,"45-54",TRUE,"OVER 55")</f>
        <v>35-44</v>
      </c>
    </row>
    <row r="1318" spans="1:37"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f t="shared" si="20"/>
        <v>0</v>
      </c>
      <c r="AK1318" t="str" cm="1">
        <f t="array" ref="AK1318">_xlfn.IFS(A1318&lt;25,"UNDER 25",A1318&lt;=34,"25-34",A1318&lt;=44,"35-44",A1318&lt;=54,"45-54",TRUE,"OVER 55")</f>
        <v>35-44</v>
      </c>
    </row>
    <row r="1319" spans="1:37"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f t="shared" si="20"/>
        <v>0</v>
      </c>
      <c r="AK1319" t="str" cm="1">
        <f t="array" ref="AK1319">_xlfn.IFS(A1319&lt;25,"UNDER 25",A1319&lt;=34,"25-34",A1319&lt;=44,"35-44",A1319&lt;=54,"45-54",TRUE,"OVER 55")</f>
        <v>25-34</v>
      </c>
    </row>
    <row r="1320" spans="1:37"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f t="shared" si="20"/>
        <v>0</v>
      </c>
      <c r="AK1320" t="str" cm="1">
        <f t="array" ref="AK1320">_xlfn.IFS(A1320&lt;25,"UNDER 25",A1320&lt;=34,"25-34",A1320&lt;=44,"35-44",A1320&lt;=54,"45-54",TRUE,"OVER 55")</f>
        <v>25-34</v>
      </c>
    </row>
    <row r="1321" spans="1:37"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f t="shared" si="20"/>
        <v>0</v>
      </c>
      <c r="AK1321" t="str" cm="1">
        <f t="array" ref="AK1321">_xlfn.IFS(A1321&lt;25,"UNDER 25",A1321&lt;=34,"25-34",A1321&lt;=44,"35-44",A1321&lt;=54,"45-54",TRUE,"OVER 55")</f>
        <v>25-34</v>
      </c>
    </row>
    <row r="1322" spans="1:37"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f t="shared" si="20"/>
        <v>0</v>
      </c>
      <c r="AK1322" t="str" cm="1">
        <f t="array" ref="AK1322">_xlfn.IFS(A1322&lt;25,"UNDER 25",A1322&lt;=34,"25-34",A1322&lt;=44,"35-44",A1322&lt;=54,"45-54",TRUE,"OVER 55")</f>
        <v>35-44</v>
      </c>
    </row>
    <row r="1323" spans="1:37"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f t="shared" si="20"/>
        <v>0</v>
      </c>
      <c r="AK1323" t="str" cm="1">
        <f t="array" ref="AK1323">_xlfn.IFS(A1323&lt;25,"UNDER 25",A1323&lt;=34,"25-34",A1323&lt;=44,"35-44",A1323&lt;=54,"45-54",TRUE,"OVER 55")</f>
        <v>45-54</v>
      </c>
    </row>
    <row r="1324" spans="1:37"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f t="shared" si="20"/>
        <v>0</v>
      </c>
      <c r="AK1324" t="str" cm="1">
        <f t="array" ref="AK1324">_xlfn.IFS(A1324&lt;25,"UNDER 25",A1324&lt;=34,"25-34",A1324&lt;=44,"35-44",A1324&lt;=54,"45-54",TRUE,"OVER 55")</f>
        <v>45-54</v>
      </c>
    </row>
    <row r="1325" spans="1:37"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f t="shared" si="20"/>
        <v>0</v>
      </c>
      <c r="AK1325" t="str" cm="1">
        <f t="array" ref="AK1325">_xlfn.IFS(A1325&lt;25,"UNDER 25",A1325&lt;=34,"25-34",A1325&lt;=44,"35-44",A1325&lt;=54,"45-54",TRUE,"OVER 55")</f>
        <v>25-34</v>
      </c>
    </row>
    <row r="1326" spans="1:37"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f t="shared" si="20"/>
        <v>0</v>
      </c>
      <c r="AK1326" t="str" cm="1">
        <f t="array" ref="AK1326">_xlfn.IFS(A1326&lt;25,"UNDER 25",A1326&lt;=34,"25-34",A1326&lt;=44,"35-44",A1326&lt;=54,"45-54",TRUE,"OVER 55")</f>
        <v>25-34</v>
      </c>
    </row>
    <row r="1327" spans="1:37"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f t="shared" si="20"/>
        <v>0</v>
      </c>
      <c r="AK1327" t="str" cm="1">
        <f t="array" ref="AK1327">_xlfn.IFS(A1327&lt;25,"UNDER 25",A1327&lt;=34,"25-34",A1327&lt;=44,"35-44",A1327&lt;=54,"45-54",TRUE,"OVER 55")</f>
        <v>35-44</v>
      </c>
    </row>
    <row r="1328" spans="1:37"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f t="shared" si="20"/>
        <v>1</v>
      </c>
      <c r="AK1328" t="str" cm="1">
        <f t="array" ref="AK1328">_xlfn.IFS(A1328&lt;25,"UNDER 25",A1328&lt;=34,"25-34",A1328&lt;=44,"35-44",A1328&lt;=54,"45-54",TRUE,"OVER 55")</f>
        <v>25-34</v>
      </c>
    </row>
    <row r="1329" spans="1:37"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f t="shared" si="20"/>
        <v>0</v>
      </c>
      <c r="AK1329" t="str" cm="1">
        <f t="array" ref="AK1329">_xlfn.IFS(A1329&lt;25,"UNDER 25",A1329&lt;=34,"25-34",A1329&lt;=44,"35-44",A1329&lt;=54,"45-54",TRUE,"OVER 55")</f>
        <v>45-54</v>
      </c>
    </row>
    <row r="1330" spans="1:37"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f t="shared" si="20"/>
        <v>0</v>
      </c>
      <c r="AK1330" t="str" cm="1">
        <f t="array" ref="AK1330">_xlfn.IFS(A1330&lt;25,"UNDER 25",A1330&lt;=34,"25-34",A1330&lt;=44,"35-44",A1330&lt;=54,"45-54",TRUE,"OVER 55")</f>
        <v>25-34</v>
      </c>
    </row>
    <row r="1331" spans="1:37"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f t="shared" si="20"/>
        <v>0</v>
      </c>
      <c r="AK1331" t="str" cm="1">
        <f t="array" ref="AK1331">_xlfn.IFS(A1331&lt;25,"UNDER 25",A1331&lt;=34,"25-34",A1331&lt;=44,"35-44",A1331&lt;=54,"45-54",TRUE,"OVER 55")</f>
        <v>25-34</v>
      </c>
    </row>
    <row r="1332" spans="1:37"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f t="shared" si="20"/>
        <v>0</v>
      </c>
      <c r="AK1332" t="str" cm="1">
        <f t="array" ref="AK1332">_xlfn.IFS(A1332&lt;25,"UNDER 25",A1332&lt;=34,"25-34",A1332&lt;=44,"35-44",A1332&lt;=54,"45-54",TRUE,"OVER 55")</f>
        <v>35-44</v>
      </c>
    </row>
    <row r="1333" spans="1:37"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f t="shared" si="20"/>
        <v>0</v>
      </c>
      <c r="AK1333" t="str" cm="1">
        <f t="array" ref="AK1333">_xlfn.IFS(A1333&lt;25,"UNDER 25",A1333&lt;=34,"25-34",A1333&lt;=44,"35-44",A1333&lt;=54,"45-54",TRUE,"OVER 55")</f>
        <v>45-54</v>
      </c>
    </row>
    <row r="1334" spans="1:37"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f t="shared" si="20"/>
        <v>1</v>
      </c>
      <c r="AK1334" t="str" cm="1">
        <f t="array" ref="AK1334">_xlfn.IFS(A1334&lt;25,"UNDER 25",A1334&lt;=34,"25-34",A1334&lt;=44,"35-44",A1334&lt;=54,"45-54",TRUE,"OVER 55")</f>
        <v>25-34</v>
      </c>
    </row>
    <row r="1335" spans="1:37"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f t="shared" si="20"/>
        <v>1</v>
      </c>
      <c r="AK1335" t="str" cm="1">
        <f t="array" ref="AK1335">_xlfn.IFS(A1335&lt;25,"UNDER 25",A1335&lt;=34,"25-34",A1335&lt;=44,"35-44",A1335&lt;=54,"45-54",TRUE,"OVER 55")</f>
        <v>45-54</v>
      </c>
    </row>
    <row r="1336" spans="1:37"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f t="shared" si="20"/>
        <v>0</v>
      </c>
      <c r="AK1336" t="str" cm="1">
        <f t="array" ref="AK1336">_xlfn.IFS(A1336&lt;25,"UNDER 25",A1336&lt;=34,"25-34",A1336&lt;=44,"35-44",A1336&lt;=54,"45-54",TRUE,"OVER 55")</f>
        <v>25-34</v>
      </c>
    </row>
    <row r="1337" spans="1:37"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f t="shared" si="20"/>
        <v>0</v>
      </c>
      <c r="AK1337" t="str" cm="1">
        <f t="array" ref="AK1337">_xlfn.IFS(A1337&lt;25,"UNDER 25",A1337&lt;=34,"25-34",A1337&lt;=44,"35-44",A1337&lt;=54,"45-54",TRUE,"OVER 55")</f>
        <v>35-44</v>
      </c>
    </row>
    <row r="1338" spans="1:37"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f t="shared" si="20"/>
        <v>0</v>
      </c>
      <c r="AK1338" t="str" cm="1">
        <f t="array" ref="AK1338">_xlfn.IFS(A1338&lt;25,"UNDER 25",A1338&lt;=34,"25-34",A1338&lt;=44,"35-44",A1338&lt;=54,"45-54",TRUE,"OVER 55")</f>
        <v>OVER 55</v>
      </c>
    </row>
    <row r="1339" spans="1:37"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f t="shared" si="20"/>
        <v>0</v>
      </c>
      <c r="AK1339" t="str" cm="1">
        <f t="array" ref="AK1339">_xlfn.IFS(A1339&lt;25,"UNDER 25",A1339&lt;=34,"25-34",A1339&lt;=44,"35-44",A1339&lt;=54,"45-54",TRUE,"OVER 55")</f>
        <v>25-34</v>
      </c>
    </row>
    <row r="1340" spans="1:37"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f t="shared" si="20"/>
        <v>1</v>
      </c>
      <c r="AK1340" t="str" cm="1">
        <f t="array" ref="AK1340">_xlfn.IFS(A1340&lt;25,"UNDER 25",A1340&lt;=34,"25-34",A1340&lt;=44,"35-44",A1340&lt;=54,"45-54",TRUE,"OVER 55")</f>
        <v>25-34</v>
      </c>
    </row>
    <row r="1341" spans="1:37"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f t="shared" si="20"/>
        <v>1</v>
      </c>
      <c r="AK1341" t="str" cm="1">
        <f t="array" ref="AK1341">_xlfn.IFS(A1341&lt;25,"UNDER 25",A1341&lt;=34,"25-34",A1341&lt;=44,"35-44",A1341&lt;=54,"45-54",TRUE,"OVER 55")</f>
        <v>UNDER 25</v>
      </c>
    </row>
    <row r="1342" spans="1:37"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f t="shared" si="20"/>
        <v>0</v>
      </c>
      <c r="AK1342" t="str" cm="1">
        <f t="array" ref="AK1342">_xlfn.IFS(A1342&lt;25,"UNDER 25",A1342&lt;=34,"25-34",A1342&lt;=44,"35-44",A1342&lt;=54,"45-54",TRUE,"OVER 55")</f>
        <v>35-44</v>
      </c>
    </row>
    <row r="1343" spans="1:37"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f t="shared" si="20"/>
        <v>0</v>
      </c>
      <c r="AK1343" t="str" cm="1">
        <f t="array" ref="AK1343">_xlfn.IFS(A1343&lt;25,"UNDER 25",A1343&lt;=34,"25-34",A1343&lt;=44,"35-44",A1343&lt;=54,"45-54",TRUE,"OVER 55")</f>
        <v>25-34</v>
      </c>
    </row>
    <row r="1344" spans="1:37"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f t="shared" si="20"/>
        <v>0</v>
      </c>
      <c r="AK1344" t="str" cm="1">
        <f t="array" ref="AK1344">_xlfn.IFS(A1344&lt;25,"UNDER 25",A1344&lt;=34,"25-34",A1344&lt;=44,"35-44",A1344&lt;=54,"45-54",TRUE,"OVER 55")</f>
        <v>25-34</v>
      </c>
    </row>
    <row r="1345" spans="1:37"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f t="shared" si="20"/>
        <v>0</v>
      </c>
      <c r="AK1345" t="str" cm="1">
        <f t="array" ref="AK1345">_xlfn.IFS(A1345&lt;25,"UNDER 25",A1345&lt;=34,"25-34",A1345&lt;=44,"35-44",A1345&lt;=54,"45-54",TRUE,"OVER 55")</f>
        <v>25-34</v>
      </c>
    </row>
    <row r="1346" spans="1:37"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f t="shared" si="20"/>
        <v>0</v>
      </c>
      <c r="AK1346" t="str" cm="1">
        <f t="array" ref="AK1346">_xlfn.IFS(A1346&lt;25,"UNDER 25",A1346&lt;=34,"25-34",A1346&lt;=44,"35-44",A1346&lt;=54,"45-54",TRUE,"OVER 55")</f>
        <v>35-44</v>
      </c>
    </row>
    <row r="1347" spans="1:37"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f t="shared" ref="AJ1347:AJ1410" si="21">IF(B1347="yes",1,0)</f>
        <v>0</v>
      </c>
      <c r="AK1347" t="str" cm="1">
        <f t="array" ref="AK1347">_xlfn.IFS(A1347&lt;25,"UNDER 25",A1347&lt;=34,"25-34",A1347&lt;=44,"35-44",A1347&lt;=54,"45-54",TRUE,"OVER 55")</f>
        <v>35-44</v>
      </c>
    </row>
    <row r="1348" spans="1:37"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f t="shared" si="21"/>
        <v>0</v>
      </c>
      <c r="AK1348" t="str" cm="1">
        <f t="array" ref="AK1348">_xlfn.IFS(A1348&lt;25,"UNDER 25",A1348&lt;=34,"25-34",A1348&lt;=44,"35-44",A1348&lt;=54,"45-54",TRUE,"OVER 55")</f>
        <v>45-54</v>
      </c>
    </row>
    <row r="1349" spans="1:37"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f t="shared" si="21"/>
        <v>0</v>
      </c>
      <c r="AK1349" t="str" cm="1">
        <f t="array" ref="AK1349">_xlfn.IFS(A1349&lt;25,"UNDER 25",A1349&lt;=34,"25-34",A1349&lt;=44,"35-44",A1349&lt;=54,"45-54",TRUE,"OVER 55")</f>
        <v>35-44</v>
      </c>
    </row>
    <row r="1350" spans="1:37"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f t="shared" si="21"/>
        <v>0</v>
      </c>
      <c r="AK1350" t="str" cm="1">
        <f t="array" ref="AK1350">_xlfn.IFS(A1350&lt;25,"UNDER 25",A1350&lt;=34,"25-34",A1350&lt;=44,"35-44",A1350&lt;=54,"45-54",TRUE,"OVER 55")</f>
        <v>35-44</v>
      </c>
    </row>
    <row r="1351" spans="1:37"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f t="shared" si="21"/>
        <v>0</v>
      </c>
      <c r="AK1351" t="str" cm="1">
        <f t="array" ref="AK1351">_xlfn.IFS(A1351&lt;25,"UNDER 25",A1351&lt;=34,"25-34",A1351&lt;=44,"35-44",A1351&lt;=54,"45-54",TRUE,"OVER 55")</f>
        <v>25-34</v>
      </c>
    </row>
    <row r="1352" spans="1:37"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f t="shared" si="21"/>
        <v>0</v>
      </c>
      <c r="AK1352" t="str" cm="1">
        <f t="array" ref="AK1352">_xlfn.IFS(A1352&lt;25,"UNDER 25",A1352&lt;=34,"25-34",A1352&lt;=44,"35-44",A1352&lt;=54,"45-54",TRUE,"OVER 55")</f>
        <v>25-34</v>
      </c>
    </row>
    <row r="1353" spans="1:37"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f t="shared" si="21"/>
        <v>0</v>
      </c>
      <c r="AK1353" t="str" cm="1">
        <f t="array" ref="AK1353">_xlfn.IFS(A1353&lt;25,"UNDER 25",A1353&lt;=34,"25-34",A1353&lt;=44,"35-44",A1353&lt;=54,"45-54",TRUE,"OVER 55")</f>
        <v>45-54</v>
      </c>
    </row>
    <row r="1354" spans="1:37"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f t="shared" si="21"/>
        <v>0</v>
      </c>
      <c r="AK1354" t="str" cm="1">
        <f t="array" ref="AK1354">_xlfn.IFS(A1354&lt;25,"UNDER 25",A1354&lt;=34,"25-34",A1354&lt;=44,"35-44",A1354&lt;=54,"45-54",TRUE,"OVER 55")</f>
        <v>35-44</v>
      </c>
    </row>
    <row r="1355" spans="1:37"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f t="shared" si="21"/>
        <v>1</v>
      </c>
      <c r="AK1355" t="str" cm="1">
        <f t="array" ref="AK1355">_xlfn.IFS(A1355&lt;25,"UNDER 25",A1355&lt;=34,"25-34",A1355&lt;=44,"35-44",A1355&lt;=54,"45-54",TRUE,"OVER 55")</f>
        <v>25-34</v>
      </c>
    </row>
    <row r="1356" spans="1:37"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f t="shared" si="21"/>
        <v>1</v>
      </c>
      <c r="AK1356" t="str" cm="1">
        <f t="array" ref="AK1356">_xlfn.IFS(A1356&lt;25,"UNDER 25",A1356&lt;=34,"25-34",A1356&lt;=44,"35-44",A1356&lt;=54,"45-54",TRUE,"OVER 55")</f>
        <v>OVER 55</v>
      </c>
    </row>
    <row r="1357" spans="1:37"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f t="shared" si="21"/>
        <v>0</v>
      </c>
      <c r="AK1357" t="str" cm="1">
        <f t="array" ref="AK1357">_xlfn.IFS(A1357&lt;25,"UNDER 25",A1357&lt;=34,"25-34",A1357&lt;=44,"35-44",A1357&lt;=54,"45-54",TRUE,"OVER 55")</f>
        <v>35-44</v>
      </c>
    </row>
    <row r="1358" spans="1:37"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f t="shared" si="21"/>
        <v>0</v>
      </c>
      <c r="AK1358" t="str" cm="1">
        <f t="array" ref="AK1358">_xlfn.IFS(A1358&lt;25,"UNDER 25",A1358&lt;=34,"25-34",A1358&lt;=44,"35-44",A1358&lt;=54,"45-54",TRUE,"OVER 55")</f>
        <v>35-44</v>
      </c>
    </row>
    <row r="1359" spans="1:37"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f t="shared" si="21"/>
        <v>0</v>
      </c>
      <c r="AK1359" t="str" cm="1">
        <f t="array" ref="AK1359">_xlfn.IFS(A1359&lt;25,"UNDER 25",A1359&lt;=34,"25-34",A1359&lt;=44,"35-44",A1359&lt;=54,"45-54",TRUE,"OVER 55")</f>
        <v>35-44</v>
      </c>
    </row>
    <row r="1360" spans="1:37"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f t="shared" si="21"/>
        <v>0</v>
      </c>
      <c r="AK1360" t="str" cm="1">
        <f t="array" ref="AK1360">_xlfn.IFS(A1360&lt;25,"UNDER 25",A1360&lt;=34,"25-34",A1360&lt;=44,"35-44",A1360&lt;=54,"45-54",TRUE,"OVER 55")</f>
        <v>25-34</v>
      </c>
    </row>
    <row r="1361" spans="1:37"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f t="shared" si="21"/>
        <v>0</v>
      </c>
      <c r="AK1361" t="str" cm="1">
        <f t="array" ref="AK1361">_xlfn.IFS(A1361&lt;25,"UNDER 25",A1361&lt;=34,"25-34",A1361&lt;=44,"35-44",A1361&lt;=54,"45-54",TRUE,"OVER 55")</f>
        <v>25-34</v>
      </c>
    </row>
    <row r="1362" spans="1:37"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f t="shared" si="21"/>
        <v>0</v>
      </c>
      <c r="AK1362" t="str" cm="1">
        <f t="array" ref="AK1362">_xlfn.IFS(A1362&lt;25,"UNDER 25",A1362&lt;=34,"25-34",A1362&lt;=44,"35-44",A1362&lt;=54,"45-54",TRUE,"OVER 55")</f>
        <v>25-34</v>
      </c>
    </row>
    <row r="1363" spans="1:37"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f t="shared" si="21"/>
        <v>0</v>
      </c>
      <c r="AK1363" t="str" cm="1">
        <f t="array" ref="AK1363">_xlfn.IFS(A1363&lt;25,"UNDER 25",A1363&lt;=34,"25-34",A1363&lt;=44,"35-44",A1363&lt;=54,"45-54",TRUE,"OVER 55")</f>
        <v>25-34</v>
      </c>
    </row>
    <row r="1364" spans="1:37"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f t="shared" si="21"/>
        <v>0</v>
      </c>
      <c r="AK1364" t="str" cm="1">
        <f t="array" ref="AK1364">_xlfn.IFS(A1364&lt;25,"UNDER 25",A1364&lt;=34,"25-34",A1364&lt;=44,"35-44",A1364&lt;=54,"45-54",TRUE,"OVER 55")</f>
        <v>45-54</v>
      </c>
    </row>
    <row r="1365" spans="1:37"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f t="shared" si="21"/>
        <v>0</v>
      </c>
      <c r="AK1365" t="str" cm="1">
        <f t="array" ref="AK1365">_xlfn.IFS(A1365&lt;25,"UNDER 25",A1365&lt;=34,"25-34",A1365&lt;=44,"35-44",A1365&lt;=54,"45-54",TRUE,"OVER 55")</f>
        <v>25-34</v>
      </c>
    </row>
    <row r="1366" spans="1:37"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f t="shared" si="21"/>
        <v>0</v>
      </c>
      <c r="AK1366" t="str" cm="1">
        <f t="array" ref="AK1366">_xlfn.IFS(A1366&lt;25,"UNDER 25",A1366&lt;=34,"25-34",A1366&lt;=44,"35-44",A1366&lt;=54,"45-54",TRUE,"OVER 55")</f>
        <v>25-34</v>
      </c>
    </row>
    <row r="1367" spans="1:37"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f t="shared" si="21"/>
        <v>1</v>
      </c>
      <c r="AK1367" t="str" cm="1">
        <f t="array" ref="AK1367">_xlfn.IFS(A1367&lt;25,"UNDER 25",A1367&lt;=34,"25-34",A1367&lt;=44,"35-44",A1367&lt;=54,"45-54",TRUE,"OVER 55")</f>
        <v>25-34</v>
      </c>
    </row>
    <row r="1368" spans="1:37"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f t="shared" si="21"/>
        <v>0</v>
      </c>
      <c r="AK1368" t="str" cm="1">
        <f t="array" ref="AK1368">_xlfn.IFS(A1368&lt;25,"UNDER 25",A1368&lt;=34,"25-34",A1368&lt;=44,"35-44",A1368&lt;=54,"45-54",TRUE,"OVER 55")</f>
        <v>35-44</v>
      </c>
    </row>
    <row r="1369" spans="1:37"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f t="shared" si="21"/>
        <v>0</v>
      </c>
      <c r="AK1369" t="str" cm="1">
        <f t="array" ref="AK1369">_xlfn.IFS(A1369&lt;25,"UNDER 25",A1369&lt;=34,"25-34",A1369&lt;=44,"35-44",A1369&lt;=54,"45-54",TRUE,"OVER 55")</f>
        <v>25-34</v>
      </c>
    </row>
    <row r="1370" spans="1:37"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f t="shared" si="21"/>
        <v>0</v>
      </c>
      <c r="AK1370" t="str" cm="1">
        <f t="array" ref="AK1370">_xlfn.IFS(A1370&lt;25,"UNDER 25",A1370&lt;=34,"25-34",A1370&lt;=44,"35-44",A1370&lt;=54,"45-54",TRUE,"OVER 55")</f>
        <v>25-34</v>
      </c>
    </row>
    <row r="1371" spans="1:37"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f t="shared" si="21"/>
        <v>1</v>
      </c>
      <c r="AK1371" t="str" cm="1">
        <f t="array" ref="AK1371">_xlfn.IFS(A1371&lt;25,"UNDER 25",A1371&lt;=34,"25-34",A1371&lt;=44,"35-44",A1371&lt;=54,"45-54",TRUE,"OVER 55")</f>
        <v>25-34</v>
      </c>
    </row>
    <row r="1372" spans="1:37"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f t="shared" si="21"/>
        <v>0</v>
      </c>
      <c r="AK1372" t="str" cm="1">
        <f t="array" ref="AK1372">_xlfn.IFS(A1372&lt;25,"UNDER 25",A1372&lt;=34,"25-34",A1372&lt;=44,"35-44",A1372&lt;=54,"45-54",TRUE,"OVER 55")</f>
        <v>45-54</v>
      </c>
    </row>
    <row r="1373" spans="1:37"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f t="shared" si="21"/>
        <v>0</v>
      </c>
      <c r="AK1373" t="str" cm="1">
        <f t="array" ref="AK1373">_xlfn.IFS(A1373&lt;25,"UNDER 25",A1373&lt;=34,"25-34",A1373&lt;=44,"35-44",A1373&lt;=54,"45-54",TRUE,"OVER 55")</f>
        <v>OVER 55</v>
      </c>
    </row>
    <row r="1374" spans="1:37"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f t="shared" si="21"/>
        <v>0</v>
      </c>
      <c r="AK1374" t="str" cm="1">
        <f t="array" ref="AK1374">_xlfn.IFS(A1374&lt;25,"UNDER 25",A1374&lt;=34,"25-34",A1374&lt;=44,"35-44",A1374&lt;=54,"45-54",TRUE,"OVER 55")</f>
        <v>35-44</v>
      </c>
    </row>
    <row r="1375" spans="1:37"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f t="shared" si="21"/>
        <v>0</v>
      </c>
      <c r="AK1375" t="str" cm="1">
        <f t="array" ref="AK1375">_xlfn.IFS(A1375&lt;25,"UNDER 25",A1375&lt;=34,"25-34",A1375&lt;=44,"35-44",A1375&lt;=54,"45-54",TRUE,"OVER 55")</f>
        <v>35-44</v>
      </c>
    </row>
    <row r="1376" spans="1:37"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f t="shared" si="21"/>
        <v>0</v>
      </c>
      <c r="AK1376" t="str" cm="1">
        <f t="array" ref="AK1376">_xlfn.IFS(A1376&lt;25,"UNDER 25",A1376&lt;=34,"25-34",A1376&lt;=44,"35-44",A1376&lt;=54,"45-54",TRUE,"OVER 55")</f>
        <v>OVER 55</v>
      </c>
    </row>
    <row r="1377" spans="1:37"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f t="shared" si="21"/>
        <v>1</v>
      </c>
      <c r="AK1377" t="str" cm="1">
        <f t="array" ref="AK1377">_xlfn.IFS(A1377&lt;25,"UNDER 25",A1377&lt;=34,"25-34",A1377&lt;=44,"35-44",A1377&lt;=54,"45-54",TRUE,"OVER 55")</f>
        <v>25-34</v>
      </c>
    </row>
    <row r="1378" spans="1:37"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f t="shared" si="21"/>
        <v>0</v>
      </c>
      <c r="AK1378" t="str" cm="1">
        <f t="array" ref="AK1378">_xlfn.IFS(A1378&lt;25,"UNDER 25",A1378&lt;=34,"25-34",A1378&lt;=44,"35-44",A1378&lt;=54,"45-54",TRUE,"OVER 55")</f>
        <v>35-44</v>
      </c>
    </row>
    <row r="1379" spans="1:37"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f t="shared" si="21"/>
        <v>0</v>
      </c>
      <c r="AK1379" t="str" cm="1">
        <f t="array" ref="AK1379">_xlfn.IFS(A1379&lt;25,"UNDER 25",A1379&lt;=34,"25-34",A1379&lt;=44,"35-44",A1379&lt;=54,"45-54",TRUE,"OVER 55")</f>
        <v>45-54</v>
      </c>
    </row>
    <row r="1380" spans="1:37"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f t="shared" si="21"/>
        <v>0</v>
      </c>
      <c r="AK1380" t="str" cm="1">
        <f t="array" ref="AK1380">_xlfn.IFS(A1380&lt;25,"UNDER 25",A1380&lt;=34,"25-34",A1380&lt;=44,"35-44",A1380&lt;=54,"45-54",TRUE,"OVER 55")</f>
        <v>35-44</v>
      </c>
    </row>
    <row r="1381" spans="1:37"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f t="shared" si="21"/>
        <v>1</v>
      </c>
      <c r="AK1381" t="str" cm="1">
        <f t="array" ref="AK1381">_xlfn.IFS(A1381&lt;25,"UNDER 25",A1381&lt;=34,"25-34",A1381&lt;=44,"35-44",A1381&lt;=54,"45-54",TRUE,"OVER 55")</f>
        <v>25-34</v>
      </c>
    </row>
    <row r="1382" spans="1:37"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f t="shared" si="21"/>
        <v>0</v>
      </c>
      <c r="AK1382" t="str" cm="1">
        <f t="array" ref="AK1382">_xlfn.IFS(A1382&lt;25,"UNDER 25",A1382&lt;=34,"25-34",A1382&lt;=44,"35-44",A1382&lt;=54,"45-54",TRUE,"OVER 55")</f>
        <v>35-44</v>
      </c>
    </row>
    <row r="1383" spans="1:37"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f t="shared" si="21"/>
        <v>0</v>
      </c>
      <c r="AK1383" t="str" cm="1">
        <f t="array" ref="AK1383">_xlfn.IFS(A1383&lt;25,"UNDER 25",A1383&lt;=34,"25-34",A1383&lt;=44,"35-44",A1383&lt;=54,"45-54",TRUE,"OVER 55")</f>
        <v>25-34</v>
      </c>
    </row>
    <row r="1384" spans="1:37"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f t="shared" si="21"/>
        <v>0</v>
      </c>
      <c r="AK1384" t="str" cm="1">
        <f t="array" ref="AK1384">_xlfn.IFS(A1384&lt;25,"UNDER 25",A1384&lt;=34,"25-34",A1384&lt;=44,"35-44",A1384&lt;=54,"45-54",TRUE,"OVER 55")</f>
        <v>25-34</v>
      </c>
    </row>
    <row r="1385" spans="1:37"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f t="shared" si="21"/>
        <v>0</v>
      </c>
      <c r="AK1385" t="str" cm="1">
        <f t="array" ref="AK1385">_xlfn.IFS(A1385&lt;25,"UNDER 25",A1385&lt;=34,"25-34",A1385&lt;=44,"35-44",A1385&lt;=54,"45-54",TRUE,"OVER 55")</f>
        <v>35-44</v>
      </c>
    </row>
    <row r="1386" spans="1:37"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f t="shared" si="21"/>
        <v>0</v>
      </c>
      <c r="AK1386" t="str" cm="1">
        <f t="array" ref="AK1386">_xlfn.IFS(A1386&lt;25,"UNDER 25",A1386&lt;=34,"25-34",A1386&lt;=44,"35-44",A1386&lt;=54,"45-54",TRUE,"OVER 55")</f>
        <v>25-34</v>
      </c>
    </row>
    <row r="1387" spans="1:37"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f t="shared" si="21"/>
        <v>0</v>
      </c>
      <c r="AK1387" t="str" cm="1">
        <f t="array" ref="AK1387">_xlfn.IFS(A1387&lt;25,"UNDER 25",A1387&lt;=34,"25-34",A1387&lt;=44,"35-44",A1387&lt;=54,"45-54",TRUE,"OVER 55")</f>
        <v>25-34</v>
      </c>
    </row>
    <row r="1388" spans="1:37"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f t="shared" si="21"/>
        <v>0</v>
      </c>
      <c r="AK1388" t="str" cm="1">
        <f t="array" ref="AK1388">_xlfn.IFS(A1388&lt;25,"UNDER 25",A1388&lt;=34,"25-34",A1388&lt;=44,"35-44",A1388&lt;=54,"45-54",TRUE,"OVER 55")</f>
        <v>25-34</v>
      </c>
    </row>
    <row r="1389" spans="1:37"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f t="shared" si="21"/>
        <v>0</v>
      </c>
      <c r="AK1389" t="str" cm="1">
        <f t="array" ref="AK1389">_xlfn.IFS(A1389&lt;25,"UNDER 25",A1389&lt;=34,"25-34",A1389&lt;=44,"35-44",A1389&lt;=54,"45-54",TRUE,"OVER 55")</f>
        <v>25-34</v>
      </c>
    </row>
    <row r="1390" spans="1:37"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f t="shared" si="21"/>
        <v>0</v>
      </c>
      <c r="AK1390" t="str" cm="1">
        <f t="array" ref="AK1390">_xlfn.IFS(A1390&lt;25,"UNDER 25",A1390&lt;=34,"25-34",A1390&lt;=44,"35-44",A1390&lt;=54,"45-54",TRUE,"OVER 55")</f>
        <v>25-34</v>
      </c>
    </row>
    <row r="1391" spans="1:37"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f t="shared" si="21"/>
        <v>0</v>
      </c>
      <c r="AK1391" t="str" cm="1">
        <f t="array" ref="AK1391">_xlfn.IFS(A1391&lt;25,"UNDER 25",A1391&lt;=34,"25-34",A1391&lt;=44,"35-44",A1391&lt;=54,"45-54",TRUE,"OVER 55")</f>
        <v>25-34</v>
      </c>
    </row>
    <row r="1392" spans="1:37"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f t="shared" si="21"/>
        <v>1</v>
      </c>
      <c r="AK1392" t="str" cm="1">
        <f t="array" ref="AK1392">_xlfn.IFS(A1392&lt;25,"UNDER 25",A1392&lt;=34,"25-34",A1392&lt;=44,"35-44",A1392&lt;=54,"45-54",TRUE,"OVER 55")</f>
        <v>25-34</v>
      </c>
    </row>
    <row r="1393" spans="1:37"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f t="shared" si="21"/>
        <v>0</v>
      </c>
      <c r="AK1393" t="str" cm="1">
        <f t="array" ref="AK1393">_xlfn.IFS(A1393&lt;25,"UNDER 25",A1393&lt;=34,"25-34",A1393&lt;=44,"35-44",A1393&lt;=54,"45-54",TRUE,"OVER 55")</f>
        <v>35-44</v>
      </c>
    </row>
    <row r="1394" spans="1:37"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f t="shared" si="21"/>
        <v>0</v>
      </c>
      <c r="AK1394" t="str" cm="1">
        <f t="array" ref="AK1394">_xlfn.IFS(A1394&lt;25,"UNDER 25",A1394&lt;=34,"25-34",A1394&lt;=44,"35-44",A1394&lt;=54,"45-54",TRUE,"OVER 55")</f>
        <v>35-44</v>
      </c>
    </row>
    <row r="1395" spans="1:37"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f t="shared" si="21"/>
        <v>0</v>
      </c>
      <c r="AK1395" t="str" cm="1">
        <f t="array" ref="AK1395">_xlfn.IFS(A1395&lt;25,"UNDER 25",A1395&lt;=34,"25-34",A1395&lt;=44,"35-44",A1395&lt;=54,"45-54",TRUE,"OVER 55")</f>
        <v>25-34</v>
      </c>
    </row>
    <row r="1396" spans="1:37"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f t="shared" si="21"/>
        <v>0</v>
      </c>
      <c r="AK1396" t="str" cm="1">
        <f t="array" ref="AK1396">_xlfn.IFS(A1396&lt;25,"UNDER 25",A1396&lt;=34,"25-34",A1396&lt;=44,"35-44",A1396&lt;=54,"45-54",TRUE,"OVER 55")</f>
        <v>25-34</v>
      </c>
    </row>
    <row r="1397" spans="1:37"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f t="shared" si="21"/>
        <v>1</v>
      </c>
      <c r="AK1397" t="str" cm="1">
        <f t="array" ref="AK1397">_xlfn.IFS(A1397&lt;25,"UNDER 25",A1397&lt;=34,"25-34",A1397&lt;=44,"35-44",A1397&lt;=54,"45-54",TRUE,"OVER 55")</f>
        <v>25-34</v>
      </c>
    </row>
    <row r="1398" spans="1:37"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f t="shared" si="21"/>
        <v>1</v>
      </c>
      <c r="AK1398" t="str" cm="1">
        <f t="array" ref="AK1398">_xlfn.IFS(A1398&lt;25,"UNDER 25",A1398&lt;=34,"25-34",A1398&lt;=44,"35-44",A1398&lt;=54,"45-54",TRUE,"OVER 55")</f>
        <v>45-54</v>
      </c>
    </row>
    <row r="1399" spans="1:37"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f t="shared" si="21"/>
        <v>0</v>
      </c>
      <c r="AK1399" t="str" cm="1">
        <f t="array" ref="AK1399">_xlfn.IFS(A1399&lt;25,"UNDER 25",A1399&lt;=34,"25-34",A1399&lt;=44,"35-44",A1399&lt;=54,"45-54",TRUE,"OVER 55")</f>
        <v>45-54</v>
      </c>
    </row>
    <row r="1400" spans="1:37"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f t="shared" si="21"/>
        <v>0</v>
      </c>
      <c r="AK1400" t="str" cm="1">
        <f t="array" ref="AK1400">_xlfn.IFS(A1400&lt;25,"UNDER 25",A1400&lt;=34,"25-34",A1400&lt;=44,"35-44",A1400&lt;=54,"45-54",TRUE,"OVER 55")</f>
        <v>25-34</v>
      </c>
    </row>
    <row r="1401" spans="1:37"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f t="shared" si="21"/>
        <v>0</v>
      </c>
      <c r="AK1401" t="str" cm="1">
        <f t="array" ref="AK1401">_xlfn.IFS(A1401&lt;25,"UNDER 25",A1401&lt;=34,"25-34",A1401&lt;=44,"35-44",A1401&lt;=54,"45-54",TRUE,"OVER 55")</f>
        <v>35-44</v>
      </c>
    </row>
    <row r="1402" spans="1:37"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f t="shared" si="21"/>
        <v>0</v>
      </c>
      <c r="AK1402" t="str" cm="1">
        <f t="array" ref="AK1402">_xlfn.IFS(A1402&lt;25,"UNDER 25",A1402&lt;=34,"25-34",A1402&lt;=44,"35-44",A1402&lt;=54,"45-54",TRUE,"OVER 55")</f>
        <v>35-44</v>
      </c>
    </row>
    <row r="1403" spans="1:37"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f t="shared" si="21"/>
        <v>0</v>
      </c>
      <c r="AK1403" t="str" cm="1">
        <f t="array" ref="AK1403">_xlfn.IFS(A1403&lt;25,"UNDER 25",A1403&lt;=34,"25-34",A1403&lt;=44,"35-44",A1403&lt;=54,"45-54",TRUE,"OVER 55")</f>
        <v>OVER 55</v>
      </c>
    </row>
    <row r="1404" spans="1:37"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f t="shared" si="21"/>
        <v>0</v>
      </c>
      <c r="AK1404" t="str" cm="1">
        <f t="array" ref="AK1404">_xlfn.IFS(A1404&lt;25,"UNDER 25",A1404&lt;=34,"25-34",A1404&lt;=44,"35-44",A1404&lt;=54,"45-54",TRUE,"OVER 55")</f>
        <v>25-34</v>
      </c>
    </row>
    <row r="1405" spans="1:37"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f t="shared" si="21"/>
        <v>0</v>
      </c>
      <c r="AK1405" t="str" cm="1">
        <f t="array" ref="AK1405">_xlfn.IFS(A1405&lt;25,"UNDER 25",A1405&lt;=34,"25-34",A1405&lt;=44,"35-44",A1405&lt;=54,"45-54",TRUE,"OVER 55")</f>
        <v>35-44</v>
      </c>
    </row>
    <row r="1406" spans="1:37"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f t="shared" si="21"/>
        <v>0</v>
      </c>
      <c r="AK1406" t="str" cm="1">
        <f t="array" ref="AK1406">_xlfn.IFS(A1406&lt;25,"UNDER 25",A1406&lt;=34,"25-34",A1406&lt;=44,"35-44",A1406&lt;=54,"45-54",TRUE,"OVER 55")</f>
        <v>35-44</v>
      </c>
    </row>
    <row r="1407" spans="1:37"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f t="shared" si="21"/>
        <v>0</v>
      </c>
      <c r="AK1407" t="str" cm="1">
        <f t="array" ref="AK1407">_xlfn.IFS(A1407&lt;25,"UNDER 25",A1407&lt;=34,"25-34",A1407&lt;=44,"35-44",A1407&lt;=54,"45-54",TRUE,"OVER 55")</f>
        <v>25-34</v>
      </c>
    </row>
    <row r="1408" spans="1:37"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f t="shared" si="21"/>
        <v>0</v>
      </c>
      <c r="AK1408" t="str" cm="1">
        <f t="array" ref="AK1408">_xlfn.IFS(A1408&lt;25,"UNDER 25",A1408&lt;=34,"25-34",A1408&lt;=44,"35-44",A1408&lt;=54,"45-54",TRUE,"OVER 55")</f>
        <v>45-54</v>
      </c>
    </row>
    <row r="1409" spans="1:37"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f t="shared" si="21"/>
        <v>0</v>
      </c>
      <c r="AK1409" t="str" cm="1">
        <f t="array" ref="AK1409">_xlfn.IFS(A1409&lt;25,"UNDER 25",A1409&lt;=34,"25-34",A1409&lt;=44,"35-44",A1409&lt;=54,"45-54",TRUE,"OVER 55")</f>
        <v>UNDER 25</v>
      </c>
    </row>
    <row r="1410" spans="1:37"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f t="shared" si="21"/>
        <v>0</v>
      </c>
      <c r="AK1410" t="str" cm="1">
        <f t="array" ref="AK1410">_xlfn.IFS(A1410&lt;25,"UNDER 25",A1410&lt;=34,"25-34",A1410&lt;=44,"35-44",A1410&lt;=54,"45-54",TRUE,"OVER 55")</f>
        <v>UNDER 25</v>
      </c>
    </row>
    <row r="1411" spans="1:37"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f t="shared" ref="AJ1411:AJ1471" si="22">IF(B1411="yes",1,0)</f>
        <v>0</v>
      </c>
      <c r="AK1411" t="str" cm="1">
        <f t="array" ref="AK1411">_xlfn.IFS(A1411&lt;25,"UNDER 25",A1411&lt;=34,"25-34",A1411&lt;=44,"35-44",A1411&lt;=54,"45-54",TRUE,"OVER 55")</f>
        <v>35-44</v>
      </c>
    </row>
    <row r="1412" spans="1:37"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f t="shared" si="22"/>
        <v>0</v>
      </c>
      <c r="AK1412" t="str" cm="1">
        <f t="array" ref="AK1412">_xlfn.IFS(A1412&lt;25,"UNDER 25",A1412&lt;=34,"25-34",A1412&lt;=44,"35-44",A1412&lt;=54,"45-54",TRUE,"OVER 55")</f>
        <v>35-44</v>
      </c>
    </row>
    <row r="1413" spans="1:37"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f t="shared" si="22"/>
        <v>0</v>
      </c>
      <c r="AK1413" t="str" cm="1">
        <f t="array" ref="AK1413">_xlfn.IFS(A1413&lt;25,"UNDER 25",A1413&lt;=34,"25-34",A1413&lt;=44,"35-44",A1413&lt;=54,"45-54",TRUE,"OVER 55")</f>
        <v>25-34</v>
      </c>
    </row>
    <row r="1414" spans="1:37"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f t="shared" si="22"/>
        <v>0</v>
      </c>
      <c r="AK1414" t="str" cm="1">
        <f t="array" ref="AK1414">_xlfn.IFS(A1414&lt;25,"UNDER 25",A1414&lt;=34,"25-34",A1414&lt;=44,"35-44",A1414&lt;=54,"45-54",TRUE,"OVER 55")</f>
        <v>25-34</v>
      </c>
    </row>
    <row r="1415" spans="1:37"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f t="shared" si="22"/>
        <v>0</v>
      </c>
      <c r="AK1415" t="str" cm="1">
        <f t="array" ref="AK1415">_xlfn.IFS(A1415&lt;25,"UNDER 25",A1415&lt;=34,"25-34",A1415&lt;=44,"35-44",A1415&lt;=54,"45-54",TRUE,"OVER 55")</f>
        <v>25-34</v>
      </c>
    </row>
    <row r="1416" spans="1:37"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f t="shared" si="22"/>
        <v>0</v>
      </c>
      <c r="AK1416" t="str" cm="1">
        <f t="array" ref="AK1416">_xlfn.IFS(A1416&lt;25,"UNDER 25",A1416&lt;=34,"25-34",A1416&lt;=44,"35-44",A1416&lt;=54,"45-54",TRUE,"OVER 55")</f>
        <v>45-54</v>
      </c>
    </row>
    <row r="1417" spans="1:37"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f t="shared" si="22"/>
        <v>0</v>
      </c>
      <c r="AK1417" t="str" cm="1">
        <f t="array" ref="AK1417">_xlfn.IFS(A1417&lt;25,"UNDER 25",A1417&lt;=34,"25-34",A1417&lt;=44,"35-44",A1417&lt;=54,"45-54",TRUE,"OVER 55")</f>
        <v>25-34</v>
      </c>
    </row>
    <row r="1418" spans="1:37"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f t="shared" si="22"/>
        <v>0</v>
      </c>
      <c r="AK1418" t="str" cm="1">
        <f t="array" ref="AK1418">_xlfn.IFS(A1418&lt;25,"UNDER 25",A1418&lt;=34,"25-34",A1418&lt;=44,"35-44",A1418&lt;=54,"45-54",TRUE,"OVER 55")</f>
        <v>35-44</v>
      </c>
    </row>
    <row r="1419" spans="1:37"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f t="shared" si="22"/>
        <v>0</v>
      </c>
      <c r="AK1419" t="str" cm="1">
        <f t="array" ref="AK1419">_xlfn.IFS(A1419&lt;25,"UNDER 25",A1419&lt;=34,"25-34",A1419&lt;=44,"35-44",A1419&lt;=54,"45-54",TRUE,"OVER 55")</f>
        <v>25-34</v>
      </c>
    </row>
    <row r="1420" spans="1:37"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f t="shared" si="22"/>
        <v>0</v>
      </c>
      <c r="AK1420" t="str" cm="1">
        <f t="array" ref="AK1420">_xlfn.IFS(A1420&lt;25,"UNDER 25",A1420&lt;=34,"25-34",A1420&lt;=44,"35-44",A1420&lt;=54,"45-54",TRUE,"OVER 55")</f>
        <v>35-44</v>
      </c>
    </row>
    <row r="1421" spans="1:37"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f t="shared" si="22"/>
        <v>0</v>
      </c>
      <c r="AK1421" t="str" cm="1">
        <f t="array" ref="AK1421">_xlfn.IFS(A1421&lt;25,"UNDER 25",A1421&lt;=34,"25-34",A1421&lt;=44,"35-44",A1421&lt;=54,"45-54",TRUE,"OVER 55")</f>
        <v>35-44</v>
      </c>
    </row>
    <row r="1422" spans="1:37"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f t="shared" si="22"/>
        <v>0</v>
      </c>
      <c r="AK1422" t="str" cm="1">
        <f t="array" ref="AK1422">_xlfn.IFS(A1422&lt;25,"UNDER 25",A1422&lt;=34,"25-34",A1422&lt;=44,"35-44",A1422&lt;=54,"45-54",TRUE,"OVER 55")</f>
        <v>35-44</v>
      </c>
    </row>
    <row r="1423" spans="1:37"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f t="shared" si="22"/>
        <v>0</v>
      </c>
      <c r="AK1423" t="str" cm="1">
        <f t="array" ref="AK1423">_xlfn.IFS(A1423&lt;25,"UNDER 25",A1423&lt;=34,"25-34",A1423&lt;=44,"35-44",A1423&lt;=54,"45-54",TRUE,"OVER 55")</f>
        <v>45-54</v>
      </c>
    </row>
    <row r="1424" spans="1:37"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f t="shared" si="22"/>
        <v>0</v>
      </c>
      <c r="AK1424" t="str" cm="1">
        <f t="array" ref="AK1424">_xlfn.IFS(A1424&lt;25,"UNDER 25",A1424&lt;=34,"25-34",A1424&lt;=44,"35-44",A1424&lt;=54,"45-54",TRUE,"OVER 55")</f>
        <v>35-44</v>
      </c>
    </row>
    <row r="1425" spans="1:37"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f t="shared" si="22"/>
        <v>0</v>
      </c>
      <c r="AK1425" t="str" cm="1">
        <f t="array" ref="AK1425">_xlfn.IFS(A1425&lt;25,"UNDER 25",A1425&lt;=34,"25-34",A1425&lt;=44,"35-44",A1425&lt;=54,"45-54",TRUE,"OVER 55")</f>
        <v>UNDER 25</v>
      </c>
    </row>
    <row r="1426" spans="1:37"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f t="shared" si="22"/>
        <v>0</v>
      </c>
      <c r="AK1426" t="str" cm="1">
        <f t="array" ref="AK1426">_xlfn.IFS(A1426&lt;25,"UNDER 25",A1426&lt;=34,"25-34",A1426&lt;=44,"35-44",A1426&lt;=54,"45-54",TRUE,"OVER 55")</f>
        <v>35-44</v>
      </c>
    </row>
    <row r="1427" spans="1:37"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f t="shared" si="22"/>
        <v>0</v>
      </c>
      <c r="AK1427" t="str" cm="1">
        <f t="array" ref="AK1427">_xlfn.IFS(A1427&lt;25,"UNDER 25",A1427&lt;=34,"25-34",A1427&lt;=44,"35-44",A1427&lt;=54,"45-54",TRUE,"OVER 55")</f>
        <v>25-34</v>
      </c>
    </row>
    <row r="1428" spans="1:37"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f t="shared" si="22"/>
        <v>0</v>
      </c>
      <c r="AK1428" t="str" cm="1">
        <f t="array" ref="AK1428">_xlfn.IFS(A1428&lt;25,"UNDER 25",A1428&lt;=34,"25-34",A1428&lt;=44,"35-44",A1428&lt;=54,"45-54",TRUE,"OVER 55")</f>
        <v>25-34</v>
      </c>
    </row>
    <row r="1429" spans="1:37"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f t="shared" si="22"/>
        <v>0</v>
      </c>
      <c r="AK1429" t="str" cm="1">
        <f t="array" ref="AK1429">_xlfn.IFS(A1429&lt;25,"UNDER 25",A1429&lt;=34,"25-34",A1429&lt;=44,"35-44",A1429&lt;=54,"45-54",TRUE,"OVER 55")</f>
        <v>35-44</v>
      </c>
    </row>
    <row r="1430" spans="1:37"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f t="shared" si="22"/>
        <v>0</v>
      </c>
      <c r="AK1430" t="str" cm="1">
        <f t="array" ref="AK1430">_xlfn.IFS(A1430&lt;25,"UNDER 25",A1430&lt;=34,"25-34",A1430&lt;=44,"35-44",A1430&lt;=54,"45-54",TRUE,"OVER 55")</f>
        <v>25-34</v>
      </c>
    </row>
    <row r="1431" spans="1:37"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f t="shared" si="22"/>
        <v>0</v>
      </c>
      <c r="AK1431" t="str" cm="1">
        <f t="array" ref="AK1431">_xlfn.IFS(A1431&lt;25,"UNDER 25",A1431&lt;=34,"25-34",A1431&lt;=44,"35-44",A1431&lt;=54,"45-54",TRUE,"OVER 55")</f>
        <v>35-44</v>
      </c>
    </row>
    <row r="1432" spans="1:37"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f t="shared" si="22"/>
        <v>0</v>
      </c>
      <c r="AK1432" t="str" cm="1">
        <f t="array" ref="AK1432">_xlfn.IFS(A1432&lt;25,"UNDER 25",A1432&lt;=34,"25-34",A1432&lt;=44,"35-44",A1432&lt;=54,"45-54",TRUE,"OVER 55")</f>
        <v>35-44</v>
      </c>
    </row>
    <row r="1433" spans="1:37"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f t="shared" si="22"/>
        <v>0</v>
      </c>
      <c r="AK1433" t="str" cm="1">
        <f t="array" ref="AK1433">_xlfn.IFS(A1433&lt;25,"UNDER 25",A1433&lt;=34,"25-34",A1433&lt;=44,"35-44",A1433&lt;=54,"45-54",TRUE,"OVER 55")</f>
        <v>25-34</v>
      </c>
    </row>
    <row r="1434" spans="1:37"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f t="shared" si="22"/>
        <v>0</v>
      </c>
      <c r="AK1434" t="str" cm="1">
        <f t="array" ref="AK1434">_xlfn.IFS(A1434&lt;25,"UNDER 25",A1434&lt;=34,"25-34",A1434&lt;=44,"35-44",A1434&lt;=54,"45-54",TRUE,"OVER 55")</f>
        <v>35-44</v>
      </c>
    </row>
    <row r="1435" spans="1:37"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f t="shared" si="22"/>
        <v>0</v>
      </c>
      <c r="AK1435" t="str" cm="1">
        <f t="array" ref="AK1435">_xlfn.IFS(A1435&lt;25,"UNDER 25",A1435&lt;=34,"25-34",A1435&lt;=44,"35-44",A1435&lt;=54,"45-54",TRUE,"OVER 55")</f>
        <v>25-34</v>
      </c>
    </row>
    <row r="1436" spans="1:37"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f t="shared" si="22"/>
        <v>0</v>
      </c>
      <c r="AK1436" t="str" cm="1">
        <f t="array" ref="AK1436">_xlfn.IFS(A1436&lt;25,"UNDER 25",A1436&lt;=34,"25-34",A1436&lt;=44,"35-44",A1436&lt;=54,"45-54",TRUE,"OVER 55")</f>
        <v>45-54</v>
      </c>
    </row>
    <row r="1437" spans="1:37"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f t="shared" si="22"/>
        <v>0</v>
      </c>
      <c r="AK1437" t="str" cm="1">
        <f t="array" ref="AK1437">_xlfn.IFS(A1437&lt;25,"UNDER 25",A1437&lt;=34,"25-34",A1437&lt;=44,"35-44",A1437&lt;=54,"45-54",TRUE,"OVER 55")</f>
        <v>35-44</v>
      </c>
    </row>
    <row r="1438" spans="1:37"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f t="shared" si="22"/>
        <v>0</v>
      </c>
      <c r="AK1438" t="str" cm="1">
        <f t="array" ref="AK1438">_xlfn.IFS(A1438&lt;25,"UNDER 25",A1438&lt;=34,"25-34",A1438&lt;=44,"35-44",A1438&lt;=54,"45-54",TRUE,"OVER 55")</f>
        <v>UNDER 25</v>
      </c>
    </row>
    <row r="1439" spans="1:37"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f t="shared" si="22"/>
        <v>0</v>
      </c>
      <c r="AK1439" t="str" cm="1">
        <f t="array" ref="AK1439">_xlfn.IFS(A1439&lt;25,"UNDER 25",A1439&lt;=34,"25-34",A1439&lt;=44,"35-44",A1439&lt;=54,"45-54",TRUE,"OVER 55")</f>
        <v>35-44</v>
      </c>
    </row>
    <row r="1440" spans="1:37"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f t="shared" si="22"/>
        <v>1</v>
      </c>
      <c r="AK1440" t="str" cm="1">
        <f t="array" ref="AK1440">_xlfn.IFS(A1440&lt;25,"UNDER 25",A1440&lt;=34,"25-34",A1440&lt;=44,"35-44",A1440&lt;=54,"45-54",TRUE,"OVER 55")</f>
        <v>UNDER 25</v>
      </c>
    </row>
    <row r="1441" spans="1:37"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f t="shared" si="22"/>
        <v>0</v>
      </c>
      <c r="AK1441" t="str" cm="1">
        <f t="array" ref="AK1441">_xlfn.IFS(A1441&lt;25,"UNDER 25",A1441&lt;=34,"25-34",A1441&lt;=44,"35-44",A1441&lt;=54,"45-54",TRUE,"OVER 55")</f>
        <v>35-44</v>
      </c>
    </row>
    <row r="1442" spans="1:37"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f t="shared" si="22"/>
        <v>0</v>
      </c>
      <c r="AK1442" t="str" cm="1">
        <f t="array" ref="AK1442">_xlfn.IFS(A1442&lt;25,"UNDER 25",A1442&lt;=34,"25-34",A1442&lt;=44,"35-44",A1442&lt;=54,"45-54",TRUE,"OVER 55")</f>
        <v>35-44</v>
      </c>
    </row>
    <row r="1443" spans="1:37"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f t="shared" si="22"/>
        <v>0</v>
      </c>
      <c r="AK1443" t="str" cm="1">
        <f t="array" ref="AK1443">_xlfn.IFS(A1443&lt;25,"UNDER 25",A1443&lt;=34,"25-34",A1443&lt;=44,"35-44",A1443&lt;=54,"45-54",TRUE,"OVER 55")</f>
        <v>OVER 55</v>
      </c>
    </row>
    <row r="1444" spans="1:37"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f t="shared" si="22"/>
        <v>1</v>
      </c>
      <c r="AK1444" t="str" cm="1">
        <f t="array" ref="AK1444">_xlfn.IFS(A1444&lt;25,"UNDER 25",A1444&lt;=34,"25-34",A1444&lt;=44,"35-44",A1444&lt;=54,"45-54",TRUE,"OVER 55")</f>
        <v>25-34</v>
      </c>
    </row>
    <row r="1445" spans="1:37"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f t="shared" si="22"/>
        <v>0</v>
      </c>
      <c r="AK1445" t="str" cm="1">
        <f t="array" ref="AK1445">_xlfn.IFS(A1445&lt;25,"UNDER 25",A1445&lt;=34,"25-34",A1445&lt;=44,"35-44",A1445&lt;=54,"45-54",TRUE,"OVER 55")</f>
        <v>35-44</v>
      </c>
    </row>
    <row r="1446" spans="1:37"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f t="shared" si="22"/>
        <v>1</v>
      </c>
      <c r="AK1446" t="str" cm="1">
        <f t="array" ref="AK1446">_xlfn.IFS(A1446&lt;25,"UNDER 25",A1446&lt;=34,"25-34",A1446&lt;=44,"35-44",A1446&lt;=54,"45-54",TRUE,"OVER 55")</f>
        <v>OVER 55</v>
      </c>
    </row>
    <row r="1447" spans="1:37"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f t="shared" si="22"/>
        <v>0</v>
      </c>
      <c r="AK1447" t="str" cm="1">
        <f t="array" ref="AK1447">_xlfn.IFS(A1447&lt;25,"UNDER 25",A1447&lt;=34,"25-34",A1447&lt;=44,"35-44",A1447&lt;=54,"45-54",TRUE,"OVER 55")</f>
        <v>35-44</v>
      </c>
    </row>
    <row r="1448" spans="1:37"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f t="shared" si="22"/>
        <v>0</v>
      </c>
      <c r="AK1448" t="str" cm="1">
        <f t="array" ref="AK1448">_xlfn.IFS(A1448&lt;25,"UNDER 25",A1448&lt;=34,"25-34",A1448&lt;=44,"35-44",A1448&lt;=54,"45-54",TRUE,"OVER 55")</f>
        <v>25-34</v>
      </c>
    </row>
    <row r="1449" spans="1:37"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f t="shared" si="22"/>
        <v>0</v>
      </c>
      <c r="AK1449" t="str" cm="1">
        <f t="array" ref="AK1449">_xlfn.IFS(A1449&lt;25,"UNDER 25",A1449&lt;=34,"25-34",A1449&lt;=44,"35-44",A1449&lt;=54,"45-54",TRUE,"OVER 55")</f>
        <v>35-44</v>
      </c>
    </row>
    <row r="1450" spans="1:37"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f t="shared" si="22"/>
        <v>0</v>
      </c>
      <c r="AK1450" t="str" cm="1">
        <f t="array" ref="AK1450">_xlfn.IFS(A1450&lt;25,"UNDER 25",A1450&lt;=34,"25-34",A1450&lt;=44,"35-44",A1450&lt;=54,"45-54",TRUE,"OVER 55")</f>
        <v>35-44</v>
      </c>
    </row>
    <row r="1451" spans="1:37"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f t="shared" si="22"/>
        <v>0</v>
      </c>
      <c r="AK1451" t="str" cm="1">
        <f t="array" ref="AK1451">_xlfn.IFS(A1451&lt;25,"UNDER 25",A1451&lt;=34,"25-34",A1451&lt;=44,"35-44",A1451&lt;=54,"45-54",TRUE,"OVER 55")</f>
        <v>25-34</v>
      </c>
    </row>
    <row r="1452" spans="1:37"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f t="shared" si="22"/>
        <v>0</v>
      </c>
      <c r="AK1452" t="str" cm="1">
        <f t="array" ref="AK1452">_xlfn.IFS(A1452&lt;25,"UNDER 25",A1452&lt;=34,"25-34",A1452&lt;=44,"35-44",A1452&lt;=54,"45-54",TRUE,"OVER 55")</f>
        <v>35-44</v>
      </c>
    </row>
    <row r="1453" spans="1:37"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f t="shared" si="22"/>
        <v>0</v>
      </c>
      <c r="AK1453" t="str" cm="1">
        <f t="array" ref="AK1453">_xlfn.IFS(A1453&lt;25,"UNDER 25",A1453&lt;=34,"25-34",A1453&lt;=44,"35-44",A1453&lt;=54,"45-54",TRUE,"OVER 55")</f>
        <v>35-44</v>
      </c>
    </row>
    <row r="1454" spans="1:37"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f t="shared" si="22"/>
        <v>1</v>
      </c>
      <c r="AK1454" t="str" cm="1">
        <f t="array" ref="AK1454">_xlfn.IFS(A1454&lt;25,"UNDER 25",A1454&lt;=34,"25-34",A1454&lt;=44,"35-44",A1454&lt;=54,"45-54",TRUE,"OVER 55")</f>
        <v>45-54</v>
      </c>
    </row>
    <row r="1455" spans="1:37"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f t="shared" si="22"/>
        <v>0</v>
      </c>
      <c r="AK1455" t="str" cm="1">
        <f t="array" ref="AK1455">_xlfn.IFS(A1455&lt;25,"UNDER 25",A1455&lt;=34,"25-34",A1455&lt;=44,"35-44",A1455&lt;=54,"45-54",TRUE,"OVER 55")</f>
        <v>35-44</v>
      </c>
    </row>
    <row r="1456" spans="1:37"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f t="shared" si="22"/>
        <v>0</v>
      </c>
      <c r="AK1456" t="str" cm="1">
        <f t="array" ref="AK1456">_xlfn.IFS(A1456&lt;25,"UNDER 25",A1456&lt;=34,"25-34",A1456&lt;=44,"35-44",A1456&lt;=54,"45-54",TRUE,"OVER 55")</f>
        <v>45-54</v>
      </c>
    </row>
    <row r="1457" spans="1:37"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f t="shared" si="22"/>
        <v>0</v>
      </c>
      <c r="AK1457" t="str" cm="1">
        <f t="array" ref="AK1457">_xlfn.IFS(A1457&lt;25,"UNDER 25",A1457&lt;=34,"25-34",A1457&lt;=44,"35-44",A1457&lt;=54,"45-54",TRUE,"OVER 55")</f>
        <v>35-44</v>
      </c>
    </row>
    <row r="1458" spans="1:37"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f t="shared" si="22"/>
        <v>0</v>
      </c>
      <c r="AK1458" t="str" cm="1">
        <f t="array" ref="AK1458">_xlfn.IFS(A1458&lt;25,"UNDER 25",A1458&lt;=34,"25-34",A1458&lt;=44,"35-44",A1458&lt;=54,"45-54",TRUE,"OVER 55")</f>
        <v>35-44</v>
      </c>
    </row>
    <row r="1459" spans="1:37"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f t="shared" si="22"/>
        <v>0</v>
      </c>
      <c r="AK1459" t="str" cm="1">
        <f t="array" ref="AK1459">_xlfn.IFS(A1459&lt;25,"UNDER 25",A1459&lt;=34,"25-34",A1459&lt;=44,"35-44",A1459&lt;=54,"45-54",TRUE,"OVER 55")</f>
        <v>35-44</v>
      </c>
    </row>
    <row r="1460" spans="1:37"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f t="shared" si="22"/>
        <v>0</v>
      </c>
      <c r="AK1460" t="str" cm="1">
        <f t="array" ref="AK1460">_xlfn.IFS(A1460&lt;25,"UNDER 25",A1460&lt;=34,"25-34",A1460&lt;=44,"35-44",A1460&lt;=54,"45-54",TRUE,"OVER 55")</f>
        <v>35-44</v>
      </c>
    </row>
    <row r="1461" spans="1:37"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f t="shared" si="22"/>
        <v>0</v>
      </c>
      <c r="AK1461" t="str" cm="1">
        <f t="array" ref="AK1461">_xlfn.IFS(A1461&lt;25,"UNDER 25",A1461&lt;=34,"25-34",A1461&lt;=44,"35-44",A1461&lt;=54,"45-54",TRUE,"OVER 55")</f>
        <v>25-34</v>
      </c>
    </row>
    <row r="1462" spans="1:37"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f t="shared" si="22"/>
        <v>0</v>
      </c>
      <c r="AK1462" t="str" cm="1">
        <f t="array" ref="AK1462">_xlfn.IFS(A1462&lt;25,"UNDER 25",A1462&lt;=34,"25-34",A1462&lt;=44,"35-44",A1462&lt;=54,"45-54",TRUE,"OVER 55")</f>
        <v>25-34</v>
      </c>
    </row>
    <row r="1463" spans="1:37"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f t="shared" si="22"/>
        <v>1</v>
      </c>
      <c r="AK1463" t="str" cm="1">
        <f t="array" ref="AK1463">_xlfn.IFS(A1463&lt;25,"UNDER 25",A1463&lt;=34,"25-34",A1463&lt;=44,"35-44",A1463&lt;=54,"45-54",TRUE,"OVER 55")</f>
        <v>45-54</v>
      </c>
    </row>
    <row r="1464" spans="1:37"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f t="shared" si="22"/>
        <v>0</v>
      </c>
      <c r="AK1464" t="str" cm="1">
        <f t="array" ref="AK1464">_xlfn.IFS(A1464&lt;25,"UNDER 25",A1464&lt;=34,"25-34",A1464&lt;=44,"35-44",A1464&lt;=54,"45-54",TRUE,"OVER 55")</f>
        <v>35-44</v>
      </c>
    </row>
    <row r="1465" spans="1:37"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f t="shared" si="22"/>
        <v>0</v>
      </c>
      <c r="AK1465" t="str" cm="1">
        <f t="array" ref="AK1465">_xlfn.IFS(A1465&lt;25,"UNDER 25",A1465&lt;=34,"25-34",A1465&lt;=44,"35-44",A1465&lt;=54,"45-54",TRUE,"OVER 55")</f>
        <v>25-34</v>
      </c>
    </row>
    <row r="1466" spans="1:37"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f t="shared" si="22"/>
        <v>0</v>
      </c>
      <c r="AK1466" t="str" cm="1">
        <f t="array" ref="AK1466">_xlfn.IFS(A1466&lt;25,"UNDER 25",A1466&lt;=34,"25-34",A1466&lt;=44,"35-44",A1466&lt;=54,"45-54",TRUE,"OVER 55")</f>
        <v>25-34</v>
      </c>
    </row>
    <row r="1467" spans="1:37"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f t="shared" si="22"/>
        <v>0</v>
      </c>
      <c r="AK1467" t="str" cm="1">
        <f t="array" ref="AK1467">_xlfn.IFS(A1467&lt;25,"UNDER 25",A1467&lt;=34,"25-34",A1467&lt;=44,"35-44",A1467&lt;=54,"45-54",TRUE,"OVER 55")</f>
        <v>35-44</v>
      </c>
    </row>
    <row r="1468" spans="1:37"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f t="shared" si="22"/>
        <v>0</v>
      </c>
      <c r="AK1468" t="str" cm="1">
        <f t="array" ref="AK1468">_xlfn.IFS(A1468&lt;25,"UNDER 25",A1468&lt;=34,"25-34",A1468&lt;=44,"35-44",A1468&lt;=54,"45-54",TRUE,"OVER 55")</f>
        <v>35-44</v>
      </c>
    </row>
    <row r="1469" spans="1:37"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f t="shared" si="22"/>
        <v>0</v>
      </c>
      <c r="AK1469" t="str" cm="1">
        <f t="array" ref="AK1469">_xlfn.IFS(A1469&lt;25,"UNDER 25",A1469&lt;=34,"25-34",A1469&lt;=44,"35-44",A1469&lt;=54,"45-54",TRUE,"OVER 55")</f>
        <v>25-34</v>
      </c>
    </row>
    <row r="1470" spans="1:37"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f t="shared" si="22"/>
        <v>0</v>
      </c>
      <c r="AK1470" t="str" cm="1">
        <f t="array" ref="AK1470">_xlfn.IFS(A1470&lt;25,"UNDER 25",A1470&lt;=34,"25-34",A1470&lt;=44,"35-44",A1470&lt;=54,"45-54",TRUE,"OVER 55")</f>
        <v>45-54</v>
      </c>
    </row>
    <row r="1471" spans="1:37"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f t="shared" si="22"/>
        <v>0</v>
      </c>
      <c r="AK1471" t="str" cm="1">
        <f t="array" ref="AK1471">_xlfn.IFS(A1471&lt;25,"UNDER 25",A1471&lt;=34,"25-34",A1471&lt;=44,"35-44",A1471&lt;=54,"45-54",TRUE,"OVER 55")</f>
        <v>25-34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0A71B-3B08-406C-AD55-8FCCF6496EF8}">
  <dimension ref="B4:G13"/>
  <sheetViews>
    <sheetView zoomScale="154" workbookViewId="0">
      <selection activeCell="C13" sqref="C13"/>
    </sheetView>
  </sheetViews>
  <sheetFormatPr defaultRowHeight="14.4" x14ac:dyDescent="0.3"/>
  <cols>
    <col min="2" max="2" width="12.44140625" bestFit="1" customWidth="1"/>
    <col min="3" max="3" width="23.5546875" bestFit="1" customWidth="1"/>
    <col min="4" max="4" width="12.77734375" bestFit="1" customWidth="1"/>
    <col min="5" max="5" width="17.109375" bestFit="1" customWidth="1"/>
    <col min="6" max="6" width="12.5546875" bestFit="1" customWidth="1"/>
    <col min="7" max="7" width="13.5546875" bestFit="1" customWidth="1"/>
  </cols>
  <sheetData>
    <row r="4" spans="2:7" x14ac:dyDescent="0.3">
      <c r="B4" s="1" t="s">
        <v>66</v>
      </c>
      <c r="C4" t="s">
        <v>70</v>
      </c>
      <c r="D4" t="s">
        <v>65</v>
      </c>
    </row>
    <row r="5" spans="2:7" x14ac:dyDescent="0.3">
      <c r="B5" s="2" t="s">
        <v>43</v>
      </c>
      <c r="C5">
        <v>1233</v>
      </c>
      <c r="D5">
        <v>37.561232765612324</v>
      </c>
    </row>
    <row r="6" spans="2:7" x14ac:dyDescent="0.3">
      <c r="B6" s="2" t="s">
        <v>35</v>
      </c>
      <c r="C6">
        <v>237</v>
      </c>
      <c r="D6">
        <v>33.607594936708864</v>
      </c>
    </row>
    <row r="7" spans="2:7" x14ac:dyDescent="0.3">
      <c r="B7" s="2" t="s">
        <v>67</v>
      </c>
      <c r="C7">
        <v>1470</v>
      </c>
      <c r="D7">
        <v>36.923809523809524</v>
      </c>
    </row>
    <row r="12" spans="2:7" x14ac:dyDescent="0.3">
      <c r="C12" t="s">
        <v>68</v>
      </c>
      <c r="D12" t="s">
        <v>69</v>
      </c>
      <c r="E12" t="s">
        <v>71</v>
      </c>
      <c r="F12" t="s">
        <v>72</v>
      </c>
      <c r="G12" t="s">
        <v>73</v>
      </c>
    </row>
    <row r="13" spans="2:7" x14ac:dyDescent="0.3">
      <c r="C13">
        <f>GETPIVOTDATA("COUNT OF EMPLOYEenumber",B4)</f>
        <v>1470</v>
      </c>
      <c r="D13">
        <f>GETPIVOTDATA("count of employeenumber",B4,"attrition","yes")</f>
        <v>237</v>
      </c>
      <c r="E13">
        <f>GETPIVOTDATA("COUNT OF EMPLOYEENUMBER",B4,"ATTRITION","NO")</f>
        <v>1233</v>
      </c>
      <c r="F13" s="4">
        <f>GETPIVOTDATA("AVERAGE OF AGE",B4)</f>
        <v>36.923809523809524</v>
      </c>
      <c r="G13" s="3">
        <f>D13/C13</f>
        <v>0.16122448979591836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EA523-902C-4065-8BDB-25DEF66563B2}">
  <dimension ref="A1:I108"/>
  <sheetViews>
    <sheetView zoomScaleNormal="100" workbookViewId="0">
      <selection activeCell="B71" sqref="B71:F72"/>
    </sheetView>
  </sheetViews>
  <sheetFormatPr defaultRowHeight="14.4" x14ac:dyDescent="0.3"/>
  <cols>
    <col min="1" max="1" width="22.6640625" bestFit="1" customWidth="1"/>
    <col min="2" max="2" width="15.109375" bestFit="1" customWidth="1"/>
    <col min="4" max="4" width="22.6640625" bestFit="1" customWidth="1"/>
    <col min="5" max="5" width="5.5546875" bestFit="1" customWidth="1"/>
  </cols>
  <sheetData>
    <row r="1" spans="1:9" x14ac:dyDescent="0.3">
      <c r="B1" s="8" t="s">
        <v>74</v>
      </c>
      <c r="C1" s="9"/>
      <c r="D1" s="9"/>
      <c r="E1" s="9"/>
      <c r="F1" s="9"/>
    </row>
    <row r="2" spans="1:9" x14ac:dyDescent="0.3">
      <c r="B2" s="9"/>
      <c r="C2" s="9"/>
      <c r="D2" s="9"/>
      <c r="E2" s="9"/>
      <c r="F2" s="9"/>
    </row>
    <row r="4" spans="1:9" x14ac:dyDescent="0.3">
      <c r="A4" s="1" t="s">
        <v>66</v>
      </c>
      <c r="B4" t="s">
        <v>70</v>
      </c>
    </row>
    <row r="5" spans="1:9" x14ac:dyDescent="0.3">
      <c r="A5" s="2" t="s">
        <v>39</v>
      </c>
      <c r="B5">
        <v>588</v>
      </c>
    </row>
    <row r="6" spans="1:9" x14ac:dyDescent="0.3">
      <c r="A6" s="2" t="s">
        <v>46</v>
      </c>
      <c r="B6">
        <v>882</v>
      </c>
    </row>
    <row r="7" spans="1:9" x14ac:dyDescent="0.3">
      <c r="A7" s="2" t="s">
        <v>67</v>
      </c>
      <c r="B7">
        <v>1470</v>
      </c>
    </row>
    <row r="10" spans="1:9" x14ac:dyDescent="0.3">
      <c r="B10">
        <f>IFERROR(GETPIVOTDATA("COUNT OF EMPLOYEENUMBER",A4,"GENDER","FEMALE"),"")</f>
        <v>588</v>
      </c>
    </row>
    <row r="11" spans="1:9" x14ac:dyDescent="0.3">
      <c r="B11">
        <f>IFERROR(GETPIVOTDATA("COUNT OF EMPLOYEENUMBER",A5,"GENDER","MALE"),"")</f>
        <v>882</v>
      </c>
    </row>
    <row r="15" spans="1:9" x14ac:dyDescent="0.3">
      <c r="A15" s="5"/>
      <c r="B15" s="5"/>
      <c r="C15" s="5"/>
      <c r="D15" s="5"/>
      <c r="E15" s="5"/>
      <c r="F15" s="5"/>
      <c r="G15" s="5"/>
      <c r="H15" s="5"/>
      <c r="I15" s="5"/>
    </row>
    <row r="17" spans="1:7" x14ac:dyDescent="0.3">
      <c r="B17" s="10" t="s">
        <v>76</v>
      </c>
      <c r="C17" s="11"/>
      <c r="D17" s="11"/>
      <c r="E17" s="11"/>
      <c r="F17" s="11"/>
      <c r="G17" s="11"/>
    </row>
    <row r="18" spans="1:7" x14ac:dyDescent="0.3">
      <c r="B18" s="11"/>
      <c r="C18" s="11"/>
      <c r="D18" s="11"/>
      <c r="E18" s="11"/>
      <c r="F18" s="11"/>
      <c r="G18" s="11"/>
    </row>
    <row r="20" spans="1:7" x14ac:dyDescent="0.3">
      <c r="A20" s="1" t="s">
        <v>66</v>
      </c>
      <c r="B20" t="s">
        <v>75</v>
      </c>
    </row>
    <row r="21" spans="1:7" x14ac:dyDescent="0.3">
      <c r="A21" s="2" t="s">
        <v>61</v>
      </c>
      <c r="B21">
        <v>27</v>
      </c>
    </row>
    <row r="22" spans="1:7" x14ac:dyDescent="0.3">
      <c r="A22" s="2" t="s">
        <v>49</v>
      </c>
      <c r="B22">
        <v>82</v>
      </c>
    </row>
    <row r="23" spans="1:7" x14ac:dyDescent="0.3">
      <c r="A23" s="2" t="s">
        <v>60</v>
      </c>
      <c r="B23">
        <v>132</v>
      </c>
    </row>
    <row r="24" spans="1:7" x14ac:dyDescent="0.3">
      <c r="A24" s="2" t="s">
        <v>59</v>
      </c>
      <c r="B24">
        <v>159</v>
      </c>
    </row>
    <row r="25" spans="1:7" x14ac:dyDescent="0.3">
      <c r="A25" s="2" t="s">
        <v>51</v>
      </c>
      <c r="B25">
        <v>464</v>
      </c>
    </row>
    <row r="26" spans="1:7" x14ac:dyDescent="0.3">
      <c r="A26" s="2" t="s">
        <v>38</v>
      </c>
      <c r="B26">
        <v>606</v>
      </c>
    </row>
    <row r="27" spans="1:7" x14ac:dyDescent="0.3">
      <c r="A27" s="2" t="s">
        <v>67</v>
      </c>
      <c r="B27">
        <v>1470</v>
      </c>
    </row>
    <row r="34" spans="1:9" x14ac:dyDescent="0.3">
      <c r="A34" s="5"/>
      <c r="B34" s="5"/>
      <c r="C34" s="5"/>
      <c r="D34" s="5"/>
      <c r="E34" s="5"/>
      <c r="F34" s="5"/>
      <c r="G34" s="5"/>
      <c r="H34" s="5"/>
      <c r="I34" s="5"/>
    </row>
    <row r="36" spans="1:9" x14ac:dyDescent="0.3">
      <c r="B36" s="8" t="s">
        <v>78</v>
      </c>
      <c r="C36" s="8"/>
      <c r="D36" s="8"/>
      <c r="E36" s="8"/>
      <c r="F36" s="8"/>
    </row>
    <row r="37" spans="1:9" x14ac:dyDescent="0.3">
      <c r="B37" s="8"/>
      <c r="C37" s="8"/>
      <c r="D37" s="8"/>
      <c r="E37" s="8"/>
      <c r="F37" s="8"/>
    </row>
    <row r="39" spans="1:9" x14ac:dyDescent="0.3">
      <c r="A39" s="1" t="s">
        <v>66</v>
      </c>
      <c r="B39" t="s">
        <v>77</v>
      </c>
    </row>
    <row r="40" spans="1:9" x14ac:dyDescent="0.3">
      <c r="A40" s="2" t="s">
        <v>61</v>
      </c>
      <c r="B40">
        <v>12</v>
      </c>
    </row>
    <row r="41" spans="1:9" x14ac:dyDescent="0.3">
      <c r="A41" s="2" t="s">
        <v>45</v>
      </c>
      <c r="B41">
        <v>133</v>
      </c>
    </row>
    <row r="42" spans="1:9" x14ac:dyDescent="0.3">
      <c r="A42" s="2" t="s">
        <v>37</v>
      </c>
      <c r="B42">
        <v>92</v>
      </c>
    </row>
    <row r="43" spans="1:9" x14ac:dyDescent="0.3">
      <c r="A43" s="2" t="s">
        <v>67</v>
      </c>
      <c r="B43">
        <v>237</v>
      </c>
    </row>
    <row r="52" spans="1:9" x14ac:dyDescent="0.3">
      <c r="A52" s="5"/>
      <c r="B52" s="5"/>
      <c r="C52" s="5"/>
      <c r="D52" s="5"/>
      <c r="E52" s="5"/>
      <c r="F52" s="5"/>
      <c r="G52" s="5"/>
      <c r="H52" s="5"/>
      <c r="I52" s="5"/>
    </row>
    <row r="54" spans="1:9" x14ac:dyDescent="0.3">
      <c r="B54" s="8" t="s">
        <v>83</v>
      </c>
      <c r="C54" s="8"/>
      <c r="D54" s="8"/>
      <c r="E54" s="8"/>
      <c r="F54" s="8"/>
    </row>
    <row r="55" spans="1:9" x14ac:dyDescent="0.3">
      <c r="B55" s="8"/>
      <c r="C55" s="8"/>
      <c r="D55" s="8"/>
      <c r="E55" s="8"/>
      <c r="F55" s="8"/>
    </row>
    <row r="57" spans="1:9" x14ac:dyDescent="0.3">
      <c r="A57" s="1" t="s">
        <v>66</v>
      </c>
      <c r="B57" t="s">
        <v>77</v>
      </c>
    </row>
    <row r="58" spans="1:9" x14ac:dyDescent="0.3">
      <c r="A58" s="2" t="s">
        <v>79</v>
      </c>
      <c r="B58">
        <v>112</v>
      </c>
    </row>
    <row r="59" spans="1:9" x14ac:dyDescent="0.3">
      <c r="A59" s="2" t="s">
        <v>64</v>
      </c>
      <c r="B59">
        <v>51</v>
      </c>
    </row>
    <row r="60" spans="1:9" x14ac:dyDescent="0.3">
      <c r="A60" s="2" t="s">
        <v>82</v>
      </c>
      <c r="B60">
        <v>38</v>
      </c>
    </row>
    <row r="61" spans="1:9" x14ac:dyDescent="0.3">
      <c r="A61" s="2" t="s">
        <v>80</v>
      </c>
      <c r="B61">
        <v>25</v>
      </c>
    </row>
    <row r="62" spans="1:9" x14ac:dyDescent="0.3">
      <c r="A62" s="2" t="s">
        <v>81</v>
      </c>
      <c r="B62">
        <v>11</v>
      </c>
    </row>
    <row r="63" spans="1:9" x14ac:dyDescent="0.3">
      <c r="A63" s="2" t="s">
        <v>67</v>
      </c>
      <c r="B63">
        <v>237</v>
      </c>
    </row>
    <row r="69" spans="1:9" x14ac:dyDescent="0.3">
      <c r="A69" s="5"/>
      <c r="B69" s="5"/>
      <c r="C69" s="5"/>
      <c r="D69" s="5"/>
      <c r="E69" s="5"/>
      <c r="F69" s="5"/>
      <c r="G69" s="5"/>
      <c r="H69" s="5"/>
      <c r="I69" s="5"/>
    </row>
    <row r="71" spans="1:9" x14ac:dyDescent="0.3">
      <c r="B71" s="8" t="s">
        <v>88</v>
      </c>
      <c r="C71" s="8"/>
      <c r="D71" s="8"/>
      <c r="E71" s="8"/>
      <c r="F71" s="8"/>
      <c r="G71" t="str">
        <f>UPPER(B71)</f>
        <v>ATTRITION BY MARITAL STATUS</v>
      </c>
    </row>
    <row r="72" spans="1:9" ht="14.4" customHeight="1" x14ac:dyDescent="0.3">
      <c r="B72" s="8"/>
      <c r="C72" s="8"/>
      <c r="D72" s="8"/>
      <c r="E72" s="8"/>
      <c r="F72" s="8"/>
    </row>
    <row r="74" spans="1:9" x14ac:dyDescent="0.3">
      <c r="A74" s="1" t="s">
        <v>66</v>
      </c>
      <c r="B74" t="s">
        <v>75</v>
      </c>
      <c r="D74" t="s">
        <v>17</v>
      </c>
      <c r="E74" t="s">
        <v>84</v>
      </c>
    </row>
    <row r="75" spans="1:9" x14ac:dyDescent="0.3">
      <c r="A75" s="2" t="s">
        <v>52</v>
      </c>
      <c r="B75">
        <v>327</v>
      </c>
      <c r="D75" s="2" t="s">
        <v>52</v>
      </c>
      <c r="E75">
        <f>GETPIVOTDATA("count of attrition",$A$74,$D$74,D75)</f>
        <v>327</v>
      </c>
    </row>
    <row r="76" spans="1:9" x14ac:dyDescent="0.3">
      <c r="A76" s="2" t="s">
        <v>48</v>
      </c>
      <c r="B76">
        <v>673</v>
      </c>
      <c r="D76" s="2" t="s">
        <v>41</v>
      </c>
      <c r="E76">
        <f t="shared" ref="E76:E77" si="0">GETPIVOTDATA("count of attrition",$A$74,$D$74,D76)</f>
        <v>470</v>
      </c>
    </row>
    <row r="77" spans="1:9" x14ac:dyDescent="0.3">
      <c r="A77" s="2" t="s">
        <v>41</v>
      </c>
      <c r="B77">
        <v>470</v>
      </c>
      <c r="D77" s="2" t="s">
        <v>48</v>
      </c>
      <c r="E77">
        <f t="shared" si="0"/>
        <v>673</v>
      </c>
    </row>
    <row r="78" spans="1:9" x14ac:dyDescent="0.3">
      <c r="A78" s="2" t="s">
        <v>67</v>
      </c>
      <c r="B78">
        <v>1470</v>
      </c>
    </row>
    <row r="93" spans="1:9" x14ac:dyDescent="0.3">
      <c r="A93" s="5"/>
      <c r="B93" s="5"/>
      <c r="C93" s="5"/>
      <c r="D93" s="5"/>
      <c r="E93" s="5"/>
      <c r="F93" s="5"/>
      <c r="G93" s="5"/>
      <c r="H93" s="5"/>
      <c r="I93" s="5"/>
    </row>
    <row r="98" spans="1:5" x14ac:dyDescent="0.3">
      <c r="A98" s="1" t="s">
        <v>66</v>
      </c>
      <c r="B98" t="s">
        <v>75</v>
      </c>
      <c r="D98" t="s">
        <v>15</v>
      </c>
      <c r="E98" t="s">
        <v>84</v>
      </c>
    </row>
    <row r="99" spans="1:5" x14ac:dyDescent="0.3">
      <c r="A99" s="2" t="s">
        <v>54</v>
      </c>
      <c r="B99">
        <v>131</v>
      </c>
      <c r="D99" s="2" t="s">
        <v>54</v>
      </c>
      <c r="E99">
        <f>GETPIVOTDATA("count of attrition",$A$98,$D$98,D99)</f>
        <v>131</v>
      </c>
    </row>
    <row r="100" spans="1:5" x14ac:dyDescent="0.3">
      <c r="A100" s="2" t="s">
        <v>61</v>
      </c>
      <c r="B100">
        <v>52</v>
      </c>
      <c r="D100" s="2" t="s">
        <v>61</v>
      </c>
      <c r="E100">
        <f t="shared" ref="E100:E107" si="1">GETPIVOTDATA("count of attrition",$A$98,$D$98,D100)</f>
        <v>52</v>
      </c>
    </row>
    <row r="101" spans="1:5" x14ac:dyDescent="0.3">
      <c r="A101" s="2" t="s">
        <v>50</v>
      </c>
      <c r="B101">
        <v>259</v>
      </c>
      <c r="D101" s="2" t="s">
        <v>50</v>
      </c>
      <c r="E101">
        <f t="shared" si="1"/>
        <v>259</v>
      </c>
    </row>
    <row r="102" spans="1:5" x14ac:dyDescent="0.3">
      <c r="A102" s="2" t="s">
        <v>56</v>
      </c>
      <c r="B102">
        <v>102</v>
      </c>
      <c r="D102" s="2" t="s">
        <v>56</v>
      </c>
      <c r="E102">
        <f t="shared" si="1"/>
        <v>102</v>
      </c>
    </row>
    <row r="103" spans="1:5" x14ac:dyDescent="0.3">
      <c r="A103" s="2" t="s">
        <v>53</v>
      </c>
      <c r="B103">
        <v>145</v>
      </c>
      <c r="D103" s="2" t="s">
        <v>53</v>
      </c>
      <c r="E103">
        <f t="shared" si="1"/>
        <v>145</v>
      </c>
    </row>
    <row r="104" spans="1:5" x14ac:dyDescent="0.3">
      <c r="A104" s="2" t="s">
        <v>58</v>
      </c>
      <c r="B104">
        <v>80</v>
      </c>
      <c r="D104" s="2" t="s">
        <v>58</v>
      </c>
      <c r="E104">
        <f t="shared" si="1"/>
        <v>80</v>
      </c>
    </row>
    <row r="105" spans="1:5" x14ac:dyDescent="0.3">
      <c r="A105" s="2" t="s">
        <v>47</v>
      </c>
      <c r="B105">
        <v>292</v>
      </c>
      <c r="D105" s="2" t="s">
        <v>47</v>
      </c>
      <c r="E105">
        <f t="shared" si="1"/>
        <v>292</v>
      </c>
    </row>
    <row r="106" spans="1:5" x14ac:dyDescent="0.3">
      <c r="A106" s="2" t="s">
        <v>40</v>
      </c>
      <c r="B106">
        <v>326</v>
      </c>
      <c r="D106" s="2" t="s">
        <v>40</v>
      </c>
      <c r="E106">
        <f t="shared" si="1"/>
        <v>326</v>
      </c>
    </row>
    <row r="107" spans="1:5" x14ac:dyDescent="0.3">
      <c r="A107" s="2" t="s">
        <v>57</v>
      </c>
      <c r="B107">
        <v>83</v>
      </c>
      <c r="D107" s="2" t="s">
        <v>57</v>
      </c>
      <c r="E107">
        <f t="shared" si="1"/>
        <v>83</v>
      </c>
    </row>
    <row r="108" spans="1:5" x14ac:dyDescent="0.3">
      <c r="A108" s="2" t="s">
        <v>67</v>
      </c>
      <c r="B108">
        <v>1470</v>
      </c>
    </row>
  </sheetData>
  <sortState xmlns:xlrd2="http://schemas.microsoft.com/office/spreadsheetml/2017/richdata2" ref="D75:E77">
    <sortCondition ref="E75:E77"/>
  </sortState>
  <mergeCells count="5">
    <mergeCell ref="B1:F2"/>
    <mergeCell ref="B17:G18"/>
    <mergeCell ref="B36:F37"/>
    <mergeCell ref="B54:F55"/>
    <mergeCell ref="B71:F72"/>
  </mergeCells>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73D0F-AC6B-443E-B0E4-BAEAF266CE5E}">
  <dimension ref="B4:D10"/>
  <sheetViews>
    <sheetView workbookViewId="0">
      <selection activeCell="C9" sqref="C9"/>
    </sheetView>
  </sheetViews>
  <sheetFormatPr defaultRowHeight="14.4" x14ac:dyDescent="0.3"/>
  <cols>
    <col min="2" max="2" width="22.88671875" bestFit="1" customWidth="1"/>
    <col min="3" max="3" width="20" bestFit="1" customWidth="1"/>
  </cols>
  <sheetData>
    <row r="4" spans="2:4" x14ac:dyDescent="0.3">
      <c r="B4" t="s">
        <v>86</v>
      </c>
    </row>
    <row r="5" spans="2:4" x14ac:dyDescent="0.3">
      <c r="B5" s="6">
        <v>2.7285714285714286</v>
      </c>
    </row>
    <row r="9" spans="2:4" x14ac:dyDescent="0.3">
      <c r="B9" t="s">
        <v>85</v>
      </c>
      <c r="C9" s="7">
        <f>GETPIVOTDATA($B$4,B4)</f>
        <v>2.7285714285714286</v>
      </c>
      <c r="D9">
        <f>C9/4</f>
        <v>0.68214285714285716</v>
      </c>
    </row>
    <row r="10" spans="2:4" x14ac:dyDescent="0.3">
      <c r="B10" t="s">
        <v>87</v>
      </c>
      <c r="C10">
        <f>4-C9</f>
        <v>1.2714285714285714</v>
      </c>
      <c r="D10">
        <f>C10/4</f>
        <v>0.31785714285714284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FB08-A9B5-4B81-9A3D-62287564F074}">
  <dimension ref="A1"/>
  <sheetViews>
    <sheetView tabSelected="1" topLeftCell="S6" zoomScale="400" zoomScaleNormal="50" workbookViewId="0">
      <selection activeCell="AG25" sqref="AG2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HR-Employee-Attrition</vt:lpstr>
      <vt:lpstr>KPI's</vt:lpstr>
      <vt:lpstr>Charts</vt:lpstr>
      <vt:lpstr>rating</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BHANU SURYAVANSHI</dc:creator>
  <cp:lastModifiedBy>bhanusuryavanshi@hotmail.com</cp:lastModifiedBy>
  <dcterms:created xsi:type="dcterms:W3CDTF">2026-02-11T09:25:38Z</dcterms:created>
  <dcterms:modified xsi:type="dcterms:W3CDTF">2026-02-26T09:30:06Z</dcterms:modified>
</cp:coreProperties>
</file>